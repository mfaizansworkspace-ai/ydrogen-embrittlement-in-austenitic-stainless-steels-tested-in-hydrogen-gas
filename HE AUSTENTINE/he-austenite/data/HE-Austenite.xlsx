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 sheetId="2" state="visible" r:id="rId2"/>
    <sheet xmlns:r="http://schemas.openxmlformats.org/officeDocument/2006/relationships" name="Summary" sheetId="3" state="visible" r:id="rId3"/>
    <sheet xmlns:r="http://schemas.openxmlformats.org/officeDocument/2006/relationships" name="Data dictionary" sheetId="4" state="visible" r:id="rId4"/>
    <sheet xmlns:r="http://schemas.openxmlformats.org/officeDocument/2006/relationships" name="Sources" sheetId="5" state="visible" r:id="rId5"/>
    <sheet xmlns:r="http://schemas.openxmlformats.org/officeDocument/2006/relationships" name="Extraction log" sheetId="6" state="visible" r:id="rId6"/>
  </sheets>
  <definedNames>
    <definedName name="_xlnm._FilterDatabase" localSheetId="1" hidden="1">'Data'!$A$1:$AF$114</definedName>
    <definedName name="_xlnm._FilterDatabase" localSheetId="3" hidden="1">'Data dictionary'!$A$1:$D$31</definedName>
    <definedName name="_xlnm._FilterDatabase" localSheetId="4" hidden="1">'Sources'!$A$1:$D$10</definedName>
    <definedName name="_xlnm._FilterDatabase" localSheetId="5" hidden="1">'Extraction log'!$A$1:$C$21</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sz val="14"/>
    </font>
    <font>
      <name val="Arial"/>
      <sz val="11"/>
    </font>
    <font>
      <name val="Arial"/>
      <sz val="10"/>
    </font>
    <font>
      <name val="Arial"/>
      <b val="1"/>
      <color rgb="00FFFFFF"/>
    </font>
    <font>
      <name val="Arial"/>
      <i val="1"/>
      <sz val="10"/>
    </font>
    <font>
      <name val="Arial"/>
      <b val="1"/>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3" fillId="0" borderId="1" pivotButton="0" quotePrefix="0" xfId="0"/>
    <xf numFmtId="164" fontId="3" fillId="0" borderId="0" pivotButton="0" quotePrefix="0" xfId="0"/>
    <xf numFmtId="0" fontId="5" fillId="0" borderId="0" pivotButton="0" quotePrefix="0" xfId="0"/>
    <xf numFmtId="0" fontId="6" fillId="0" borderId="0" pivotButton="0" quotePrefix="0" xfId="0"/>
    <xf numFmtId="2" fontId="0" fillId="0" borderId="0" pivotButton="0" quotePrefix="0" xfId="0"/>
    <xf numFmtId="2"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1" t="inlineStr">
        <is>
          <t>HE-Austenite v1.0</t>
        </is>
      </c>
    </row>
    <row r="2">
      <c r="A2" s="2" t="inlineStr">
        <is>
          <t>Hydrogen embrittlement of austenitic stainless steels in gaseous hydrogen: base metal and welds</t>
        </is>
      </c>
    </row>
    <row r="3">
      <c r="A3" s="3" t="inlineStr"/>
    </row>
    <row r="4">
      <c r="A4" s="3" t="inlineStr">
        <is>
          <t>Scope: gaseous hydrogen only. Tested in high-pressure hydrogen gas, or thermally precharged in hydrogen gas and then tested.</t>
        </is>
      </c>
    </row>
    <row r="5">
      <c r="A5" s="3" t="inlineStr">
        <is>
          <t>Electrochemically charged studies are excluded: cathodic fugacity cannot be converted to an equivalent gas pressure without assumptions.</t>
        </is>
      </c>
    </row>
    <row r="6">
      <c r="A6" s="3" t="inlineStr"/>
    </row>
    <row r="7">
      <c r="A7" s="3" t="inlineStr">
        <is>
          <t>Release 1.0, 23 September 2026. The 'verified' column marks rows that were independently re-extracted and matched against the source.</t>
        </is>
      </c>
    </row>
    <row r="8">
      <c r="A8" s="3" t="inlineStr">
        <is>
          <t>Derived values (nickel equivalent, relative ratio) are flagged in the 'derived' column and were not reported as such by the source.</t>
        </is>
      </c>
    </row>
    <row r="9">
      <c r="A9" s="3" t="inlineStr">
        <is>
          <t>Sources whose data appears only in figures are listed in the Extraction log sheet and are not in the Data sheet.</t>
        </is>
      </c>
    </row>
    <row r="10">
      <c r="A10" s="3" t="inlineStr"/>
    </row>
    <row r="11">
      <c r="A11" s="3" t="inlineStr">
        <is>
          <t>Compiled by Muhammad Faizan, September 2026. Data CC BY 4.0; code 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4"/>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15" customWidth="1" min="3" max="3"/>
    <col width="22" customWidth="1" min="4" max="4"/>
    <col width="8" customWidth="1" min="5" max="5"/>
    <col width="27" customWidth="1" min="6" max="6"/>
    <col width="12" customWidth="1" min="7" max="7"/>
    <col width="9" customWidth="1" min="8" max="8"/>
    <col width="13" customWidth="1" min="9" max="9"/>
    <col width="13" customWidth="1" min="10" max="10"/>
    <col width="12" customWidth="1" min="11" max="11"/>
    <col width="13" customWidth="1" min="12" max="12"/>
    <col width="18" customWidth="1" min="13" max="13"/>
    <col width="14" customWidth="1" min="14" max="14"/>
    <col width="16" customWidth="1" min="15" max="15"/>
    <col width="13" customWidth="1" min="16" max="16"/>
    <col width="14" customWidth="1" min="17" max="17"/>
    <col width="14" customWidth="1" min="18" max="18"/>
    <col width="14" customWidth="1" min="19" max="19"/>
    <col width="11" customWidth="1" min="20" max="20"/>
    <col width="20" customWidth="1" min="21" max="21"/>
    <col width="16" customWidth="1" min="22" max="22"/>
    <col width="14" customWidth="1" min="23" max="23"/>
    <col width="12" customWidth="1" min="24" max="24"/>
    <col width="12" customWidth="1" min="25" max="25"/>
    <col width="18" customWidth="1" min="26" max="26"/>
    <col width="12" customWidth="1" min="27" max="27"/>
    <col width="22" customWidth="1" min="28" max="28"/>
    <col width="9" customWidth="1" min="29" max="29"/>
    <col width="70" customWidth="1" min="30" max="30"/>
    <col width="16" customWidth="1" min="31" max="31"/>
    <col width="16" customWidth="1" min="32" max="32"/>
  </cols>
  <sheetData>
    <row r="1">
      <c r="A1" s="4" t="inlineStr">
        <is>
          <t>record id</t>
        </is>
      </c>
      <c r="B1" s="4" t="inlineStr">
        <is>
          <t>source id</t>
        </is>
      </c>
      <c r="C1" s="4" t="inlineStr">
        <is>
          <t>source short</t>
        </is>
      </c>
      <c r="D1" s="4" t="inlineStr">
        <is>
          <t>alloy</t>
        </is>
      </c>
      <c r="E1" s="4" t="inlineStr">
        <is>
          <t>heat</t>
        </is>
      </c>
      <c r="F1" s="4" t="inlineStr">
        <is>
          <t>material family</t>
        </is>
      </c>
      <c r="G1" s="4" t="inlineStr">
        <is>
          <t>product form</t>
        </is>
      </c>
      <c r="H1" s="4" t="inlineStr">
        <is>
          <t>is weld</t>
        </is>
      </c>
      <c r="I1" s="4" t="inlineStr">
        <is>
          <t>zone</t>
        </is>
      </c>
      <c r="J1" s="4" t="inlineStr">
        <is>
          <t>weld process</t>
        </is>
      </c>
      <c r="K1" s="4" t="inlineStr">
        <is>
          <t>filler metal</t>
        </is>
      </c>
      <c r="L1" s="4" t="inlineStr">
        <is>
          <t>ferrite number</t>
        </is>
      </c>
      <c r="M1" s="4" t="inlineStr">
        <is>
          <t>hydrogen exposure</t>
        </is>
      </c>
      <c r="N1" s="4" t="inlineStr">
        <is>
          <t>h2 pressure MPa</t>
        </is>
      </c>
      <c r="O1" s="4" t="inlineStr">
        <is>
          <t>hydrogen content wppm</t>
        </is>
      </c>
      <c r="P1" s="4" t="inlineStr">
        <is>
          <t>charging time h</t>
        </is>
      </c>
      <c r="Q1" s="4" t="inlineStr">
        <is>
          <t>test temperature K</t>
        </is>
      </c>
      <c r="R1" s="4" t="inlineStr">
        <is>
          <t>test temperature C</t>
        </is>
      </c>
      <c r="S1" s="4" t="inlineStr">
        <is>
          <t>strain rate per s</t>
        </is>
      </c>
      <c r="T1" s="4" t="inlineStr">
        <is>
          <t>test type</t>
        </is>
      </c>
      <c r="U1" s="4" t="inlineStr">
        <is>
          <t>property name</t>
        </is>
      </c>
      <c r="V1" s="4" t="inlineStr">
        <is>
          <t>reference environment</t>
        </is>
      </c>
      <c r="W1" s="4" t="inlineStr">
        <is>
          <t>property reference</t>
        </is>
      </c>
      <c r="X1" s="4" t="inlineStr">
        <is>
          <t>property h2</t>
        </is>
      </c>
      <c r="Y1" s="4" t="inlineStr">
        <is>
          <t>relative ratio</t>
        </is>
      </c>
      <c r="Z1" s="4" t="inlineStr">
        <is>
          <t>embrittlement flag</t>
        </is>
      </c>
      <c r="AA1" s="4" t="inlineStr">
        <is>
          <t>ni equivalent</t>
        </is>
      </c>
      <c r="AB1" s="4" t="inlineStr">
        <is>
          <t>derived</t>
        </is>
      </c>
      <c r="AC1" s="4" t="inlineStr">
        <is>
          <t>verified</t>
        </is>
      </c>
      <c r="AD1" s="4" t="inlineStr">
        <is>
          <t>notes</t>
        </is>
      </c>
      <c r="AE1" s="4" t="inlineStr">
        <is>
          <t>RA ratio (base metal)</t>
        </is>
      </c>
      <c r="AF1" s="4" t="inlineStr">
        <is>
          <t>RA ratio (weld)</t>
        </is>
      </c>
    </row>
    <row r="2">
      <c r="A2" s="5" t="inlineStr">
        <is>
          <t>IYER89-EL</t>
        </is>
      </c>
      <c r="B2" s="5" t="inlineStr">
        <is>
          <t>S7</t>
        </is>
      </c>
      <c r="C2" s="5" t="inlineStr">
        <is>
          <t>Iyer 1989</t>
        </is>
      </c>
      <c r="D2" s="5" t="inlineStr">
        <is>
          <t>304</t>
        </is>
      </c>
      <c r="E2" s="5" t="n"/>
      <c r="F2" s="5" t="inlineStr">
        <is>
          <t>300-series (304 type)</t>
        </is>
      </c>
      <c r="G2" s="5" t="inlineStr">
        <is>
          <t>unknown</t>
        </is>
      </c>
      <c r="H2" s="5" t="inlineStr">
        <is>
          <t>no</t>
        </is>
      </c>
      <c r="I2" s="5" t="inlineStr">
        <is>
          <t>base metal</t>
        </is>
      </c>
      <c r="J2" s="5" t="n"/>
      <c r="K2" s="5" t="n"/>
      <c r="L2" s="5" t="n"/>
      <c r="M2" s="5" t="inlineStr">
        <is>
          <t>gaseous precharge</t>
        </is>
      </c>
      <c r="N2" s="5" t="n">
        <v>0.1</v>
      </c>
      <c r="O2" s="5" t="n">
        <v>350</v>
      </c>
      <c r="P2" s="5" t="n">
        <v>12</v>
      </c>
      <c r="Q2" s="5" t="n">
        <v>300</v>
      </c>
      <c r="R2" s="5" t="n">
        <v>26.9</v>
      </c>
      <c r="S2" s="5" t="n"/>
      <c r="T2" s="5" t="inlineStr">
        <is>
          <t>tensile</t>
        </is>
      </c>
      <c r="U2" s="5" t="inlineStr">
        <is>
          <t>elongation</t>
        </is>
      </c>
      <c r="V2" s="5" t="inlineStr">
        <is>
          <t>uncharged</t>
        </is>
      </c>
      <c r="W2" s="5" t="n">
        <v>43</v>
      </c>
      <c r="X2" s="5" t="n">
        <v>13</v>
      </c>
      <c r="Y2" s="5" t="n">
        <v>0.302</v>
      </c>
      <c r="Z2" s="5" t="inlineStr">
        <is>
          <t>significant loss</t>
        </is>
      </c>
      <c r="AA2" s="5" t="n"/>
      <c r="AB2" s="5" t="inlineStr">
        <is>
          <t>relative_ratio</t>
        </is>
      </c>
      <c r="AC2" s="5" t="inlineStr">
        <is>
          <t>no</t>
        </is>
      </c>
      <c r="AD2" s="5" t="inlineStr">
        <is>
          <t>Iyer, Canadian Metallurgical Quarterly 1989. Stable 304; charged by soaking at 1050 C in Ar-3%H2 slightly above atmospheric pressure for 12 h (350 wppm), water quenched, tested at 27 C. Reference = annealed, 5 wppm. Strengths converted from kg/mm2 at 9.807 MPa per kg/mm2.</t>
        </is>
      </c>
      <c r="AE2" s="6">
        <f>IF(AND($U2="reduction of area",$H2="no"),$Y2,"")</f>
        <v/>
      </c>
      <c r="AF2" s="6">
        <f>IF(AND($U2="reduction of area",$H2="yes"),$Y2,"")</f>
        <v/>
      </c>
    </row>
    <row r="3">
      <c r="A3" s="5" t="inlineStr">
        <is>
          <t>IYER89-TS</t>
        </is>
      </c>
      <c r="B3" s="5" t="inlineStr">
        <is>
          <t>S7</t>
        </is>
      </c>
      <c r="C3" s="5" t="inlineStr">
        <is>
          <t>Iyer 1989</t>
        </is>
      </c>
      <c r="D3" s="5" t="inlineStr">
        <is>
          <t>304</t>
        </is>
      </c>
      <c r="E3" s="5" t="n"/>
      <c r="F3" s="5" t="inlineStr">
        <is>
          <t>300-series (304 type)</t>
        </is>
      </c>
      <c r="G3" s="5" t="inlineStr">
        <is>
          <t>unknown</t>
        </is>
      </c>
      <c r="H3" s="5" t="inlineStr">
        <is>
          <t>no</t>
        </is>
      </c>
      <c r="I3" s="5" t="inlineStr">
        <is>
          <t>base metal</t>
        </is>
      </c>
      <c r="J3" s="5" t="n"/>
      <c r="K3" s="5" t="n"/>
      <c r="L3" s="5" t="n"/>
      <c r="M3" s="5" t="inlineStr">
        <is>
          <t>gaseous precharge</t>
        </is>
      </c>
      <c r="N3" s="5" t="n">
        <v>0.1</v>
      </c>
      <c r="O3" s="5" t="n">
        <v>350</v>
      </c>
      <c r="P3" s="5" t="n">
        <v>12</v>
      </c>
      <c r="Q3" s="5" t="n">
        <v>300</v>
      </c>
      <c r="R3" s="5" t="n">
        <v>26.9</v>
      </c>
      <c r="S3" s="5" t="n"/>
      <c r="T3" s="5" t="inlineStr">
        <is>
          <t>tensile</t>
        </is>
      </c>
      <c r="U3" s="5" t="inlineStr">
        <is>
          <t>tensile strength</t>
        </is>
      </c>
      <c r="V3" s="5" t="inlineStr">
        <is>
          <t>uncharged</t>
        </is>
      </c>
      <c r="W3" s="5" t="n">
        <v>508</v>
      </c>
      <c r="X3" s="5" t="n">
        <v>472</v>
      </c>
      <c r="Y3" s="5" t="n">
        <v>0.929</v>
      </c>
      <c r="Z3" s="5" t="inlineStr">
        <is>
          <t>moderate loss</t>
        </is>
      </c>
      <c r="AA3" s="5" t="n"/>
      <c r="AB3" s="5" t="inlineStr">
        <is>
          <t>relative_ratio</t>
        </is>
      </c>
      <c r="AC3" s="5" t="inlineStr">
        <is>
          <t>no</t>
        </is>
      </c>
      <c r="AD3" s="5" t="inlineStr">
        <is>
          <t>Iyer, Canadian Metallurgical Quarterly 1989. Stable 304; charged by soaking at 1050 C in Ar-3%H2 slightly above atmospheric pressure for 12 h (350 wppm), water quenched, tested at 27 C. Reference = annealed, 5 wppm. Strengths converted from kg/mm2 at 9.807 MPa per kg/mm2.</t>
        </is>
      </c>
      <c r="AE3" s="6">
        <f>IF(AND($U3="reduction of area",$H3="no"),$Y3,"")</f>
        <v/>
      </c>
      <c r="AF3" s="6">
        <f>IF(AND($U3="reduction of area",$H3="yes"),$Y3,"")</f>
        <v/>
      </c>
    </row>
    <row r="4">
      <c r="A4" s="5" t="inlineStr">
        <is>
          <t>MATSUOKA17-304-RA</t>
        </is>
      </c>
      <c r="B4" s="5" t="inlineStr">
        <is>
          <t>S9</t>
        </is>
      </c>
      <c r="C4" s="5" t="inlineStr">
        <is>
          <t>Matsuoka 2017</t>
        </is>
      </c>
      <c r="D4" s="5" t="inlineStr">
        <is>
          <t>304</t>
        </is>
      </c>
      <c r="E4" s="5" t="n"/>
      <c r="F4" s="5" t="inlineStr">
        <is>
          <t>300-series (304 type)</t>
        </is>
      </c>
      <c r="G4" s="5" t="inlineStr">
        <is>
          <t>unknown</t>
        </is>
      </c>
      <c r="H4" s="5" t="inlineStr">
        <is>
          <t>no</t>
        </is>
      </c>
      <c r="I4" s="5" t="inlineStr">
        <is>
          <t>base metal</t>
        </is>
      </c>
      <c r="J4" s="5" t="n"/>
      <c r="K4" s="5" t="n"/>
      <c r="L4" s="5" t="n"/>
      <c r="M4" s="5" t="inlineStr">
        <is>
          <t>gaseous in-situ</t>
        </is>
      </c>
      <c r="N4" s="5" t="n">
        <v>96.5</v>
      </c>
      <c r="O4" s="5" t="n"/>
      <c r="P4" s="5" t="n"/>
      <c r="Q4" s="5" t="n">
        <v>295</v>
      </c>
      <c r="R4" s="5" t="n">
        <v>21.9</v>
      </c>
      <c r="S4" s="5" t="n"/>
      <c r="T4" s="5" t="inlineStr">
        <is>
          <t>SSRT</t>
        </is>
      </c>
      <c r="U4" s="5" t="inlineStr">
        <is>
          <t>reduction of area</t>
        </is>
      </c>
      <c r="V4" s="5" t="inlineStr">
        <is>
          <t>air</t>
        </is>
      </c>
      <c r="W4" s="5" t="n"/>
      <c r="X4" s="5" t="n"/>
      <c r="Y4" s="5" t="n">
        <v>0.37</v>
      </c>
      <c r="Z4" s="5" t="inlineStr">
        <is>
          <t>significant loss</t>
        </is>
      </c>
      <c r="AA4" s="5" t="n"/>
      <c r="AB4" s="5" t="inlineStr">
        <is>
          <t>h2_pressure_MPa (midpoint of 78-115 MPa range)</t>
        </is>
      </c>
      <c r="AC4" s="5" t="inlineStr">
        <is>
          <t>no</t>
        </is>
      </c>
      <c r="AD4" s="5" t="inlineStr">
        <is>
          <t>Matsuoka et al., Solid State Phenomena 258 (2017) 259. SSRT per ASTM G142, 6 mm dia, 30 mm gauge, cross-head 0.002 mm/s, hydrogen gas 78-115 MPa (96.5 recorded as the midpoint), reference air at RT. RRA = 0.37 stated in the text; absolute RA values appear only in figures. Remaining RRA vs Nieq data is figure-only.</t>
        </is>
      </c>
      <c r="AE4" s="6">
        <f>IF(AND($U4="reduction of area",$H4="no"),$Y4,"")</f>
        <v/>
      </c>
      <c r="AF4" s="6">
        <f>IF(AND($U4="reduction of area",$H4="yes"),$Y4,"")</f>
        <v/>
      </c>
    </row>
    <row r="5">
      <c r="A5" s="5" t="inlineStr">
        <is>
          <t>CASKEY-T10-1-EL</t>
        </is>
      </c>
      <c r="B5" s="5" t="inlineStr">
        <is>
          <t>S1</t>
        </is>
      </c>
      <c r="C5" s="5" t="inlineStr">
        <is>
          <t>Caskey 1983</t>
        </is>
      </c>
      <c r="D5" s="5" t="inlineStr">
        <is>
          <t>304L</t>
        </is>
      </c>
      <c r="E5" s="5" t="n"/>
      <c r="F5" s="5" t="inlineStr">
        <is>
          <t>300-series (304 type)</t>
        </is>
      </c>
      <c r="G5" s="5" t="inlineStr">
        <is>
          <t>unknown</t>
        </is>
      </c>
      <c r="H5" s="5" t="inlineStr">
        <is>
          <t>no</t>
        </is>
      </c>
      <c r="I5" s="5" t="inlineStr">
        <is>
          <t>base metal</t>
        </is>
      </c>
      <c r="J5" s="5" t="n"/>
      <c r="K5" s="5" t="n"/>
      <c r="L5" s="5" t="n"/>
      <c r="M5" s="5" t="inlineStr">
        <is>
          <t>gaseous precharge</t>
        </is>
      </c>
      <c r="N5" s="5" t="n">
        <v>69</v>
      </c>
      <c r="O5" s="5" t="n"/>
      <c r="P5" s="5" t="n"/>
      <c r="Q5" s="5" t="n">
        <v>295</v>
      </c>
      <c r="R5" s="5" t="n">
        <v>21.9</v>
      </c>
      <c r="S5" s="5" t="n"/>
      <c r="T5" s="5" t="inlineStr">
        <is>
          <t>tensile</t>
        </is>
      </c>
      <c r="U5" s="5" t="inlineStr">
        <is>
          <t>elongation</t>
        </is>
      </c>
      <c r="V5" s="5" t="inlineStr">
        <is>
          <t>uncharged</t>
        </is>
      </c>
      <c r="W5" s="5" t="n">
        <v>32</v>
      </c>
      <c r="X5" s="5" t="n">
        <v>35</v>
      </c>
      <c r="Y5" s="5" t="n">
        <v>1.094</v>
      </c>
      <c r="Z5" s="5" t="inlineStr">
        <is>
          <t>no measurable loss</t>
        </is>
      </c>
      <c r="AA5" s="5" t="n"/>
      <c r="AB5" s="5" t="inlineStr">
        <is>
          <t>relative_ratio</t>
        </is>
      </c>
      <c r="AC5" s="5" t="inlineStr">
        <is>
          <t>no</t>
        </is>
      </c>
      <c r="AD5" s="5" t="inlineStr">
        <is>
          <t>Caskey Table 10, HERF; total elongation barely changed while plastic strain to fracture halved Composition from Caskey Table A-1 (nominal).</t>
        </is>
      </c>
      <c r="AE5" s="6">
        <f>IF(AND($U5="reduction of area",$H5="no"),$Y5,"")</f>
        <v/>
      </c>
      <c r="AF5" s="6">
        <f>IF(AND($U5="reduction of area",$H5="yes"),$Y5,"")</f>
        <v/>
      </c>
    </row>
    <row r="6">
      <c r="A6" s="5" t="inlineStr">
        <is>
          <t>CASKEY-T10-1-PS</t>
        </is>
      </c>
      <c r="B6" s="5" t="inlineStr">
        <is>
          <t>S1</t>
        </is>
      </c>
      <c r="C6" s="5" t="inlineStr">
        <is>
          <t>Caskey 1983</t>
        </is>
      </c>
      <c r="D6" s="5" t="inlineStr">
        <is>
          <t>304L</t>
        </is>
      </c>
      <c r="E6" s="5" t="n"/>
      <c r="F6" s="5" t="inlineStr">
        <is>
          <t>300-series (304 type)</t>
        </is>
      </c>
      <c r="G6" s="5" t="inlineStr">
        <is>
          <t>unknown</t>
        </is>
      </c>
      <c r="H6" s="5" t="inlineStr">
        <is>
          <t>no</t>
        </is>
      </c>
      <c r="I6" s="5" t="inlineStr">
        <is>
          <t>base metal</t>
        </is>
      </c>
      <c r="J6" s="5" t="n"/>
      <c r="K6" s="5" t="n"/>
      <c r="L6" s="5" t="n"/>
      <c r="M6" s="5" t="inlineStr">
        <is>
          <t>gaseous precharge</t>
        </is>
      </c>
      <c r="N6" s="5" t="n">
        <v>69</v>
      </c>
      <c r="O6" s="5" t="n"/>
      <c r="P6" s="5" t="n"/>
      <c r="Q6" s="5" t="n">
        <v>295</v>
      </c>
      <c r="R6" s="5" t="n">
        <v>21.9</v>
      </c>
      <c r="S6" s="5" t="n"/>
      <c r="T6" s="5" t="inlineStr">
        <is>
          <t>tensile</t>
        </is>
      </c>
      <c r="U6" s="5" t="inlineStr">
        <is>
          <t>plastic strain to failure</t>
        </is>
      </c>
      <c r="V6" s="5" t="inlineStr">
        <is>
          <t>uncharged</t>
        </is>
      </c>
      <c r="W6" s="5" t="n">
        <v>1.83</v>
      </c>
      <c r="X6" s="5" t="n">
        <v>0.87</v>
      </c>
      <c r="Y6" s="5" t="n">
        <v>0.475</v>
      </c>
      <c r="Z6" s="5" t="inlineStr">
        <is>
          <t>significant loss</t>
        </is>
      </c>
      <c r="AA6" s="5" t="n"/>
      <c r="AB6" s="5" t="inlineStr">
        <is>
          <t>relative_ratio</t>
        </is>
      </c>
      <c r="AC6" s="5" t="inlineStr">
        <is>
          <t>no</t>
        </is>
      </c>
      <c r="AD6" s="5" t="inlineStr">
        <is>
          <t>Caskey Table 10, HERF condition; 69 MPa H2 at 480 K for 55 days; reference = unexposed Composition from Caskey Table A-1 (nominal).</t>
        </is>
      </c>
      <c r="AE6" s="6">
        <f>IF(AND($U6="reduction of area",$H6="no"),$Y6,"")</f>
        <v/>
      </c>
      <c r="AF6" s="6">
        <f>IF(AND($U6="reduction of area",$H6="yes"),$Y6,"")</f>
        <v/>
      </c>
    </row>
    <row r="7">
      <c r="A7" s="5" t="inlineStr">
        <is>
          <t>CASKEY-T3-1-EL</t>
        </is>
      </c>
      <c r="B7" s="5" t="inlineStr">
        <is>
          <t>S1</t>
        </is>
      </c>
      <c r="C7" s="5" t="inlineStr">
        <is>
          <t>Caskey 1983</t>
        </is>
      </c>
      <c r="D7" s="5" t="inlineStr">
        <is>
          <t>304L</t>
        </is>
      </c>
      <c r="E7" s="5" t="n"/>
      <c r="F7" s="5" t="inlineStr">
        <is>
          <t>300-series (304 type)</t>
        </is>
      </c>
      <c r="G7" s="5" t="inlineStr">
        <is>
          <t>unknown</t>
        </is>
      </c>
      <c r="H7" s="5" t="inlineStr">
        <is>
          <t>no</t>
        </is>
      </c>
      <c r="I7" s="5" t="inlineStr">
        <is>
          <t>base metal</t>
        </is>
      </c>
      <c r="J7" s="5" t="n"/>
      <c r="K7" s="5" t="n"/>
      <c r="L7" s="5" t="n"/>
      <c r="M7" s="5" t="inlineStr">
        <is>
          <t>gaseous in-situ</t>
        </is>
      </c>
      <c r="N7" s="5" t="n">
        <v>69</v>
      </c>
      <c r="O7" s="5" t="n"/>
      <c r="P7" s="5" t="n"/>
      <c r="Q7" s="5" t="n">
        <v>295</v>
      </c>
      <c r="R7" s="5" t="n">
        <v>21.9</v>
      </c>
      <c r="S7" s="5" t="n"/>
      <c r="T7" s="5" t="inlineStr">
        <is>
          <t>tensile</t>
        </is>
      </c>
      <c r="U7" s="5" t="inlineStr">
        <is>
          <t>elongation</t>
        </is>
      </c>
      <c r="V7" s="5" t="inlineStr">
        <is>
          <t>helium</t>
        </is>
      </c>
      <c r="W7" s="5" t="n">
        <v>74</v>
      </c>
      <c r="X7" s="5" t="n">
        <v>48</v>
      </c>
      <c r="Y7" s="5" t="n">
        <v>0.649</v>
      </c>
      <c r="Z7" s="5" t="inlineStr">
        <is>
          <t>significant loss</t>
        </is>
      </c>
      <c r="AA7" s="5" t="n"/>
      <c r="AB7" s="5" t="inlineStr">
        <is>
          <t>relative_ratio</t>
        </is>
      </c>
      <c r="AC7" s="5" t="inlineStr">
        <is>
          <t>yes</t>
        </is>
      </c>
      <c r="AD7" s="5" t="inlineStr">
        <is>
          <t>Caskey DP-1643 Table 3. Condition: annealed. Reference environment 69 MPa helium, not air. Composition from Caskey Table A-1 (nominal).</t>
        </is>
      </c>
      <c r="AE7" s="6">
        <f>IF(AND($U7="reduction of area",$H7="no"),$Y7,"")</f>
        <v/>
      </c>
      <c r="AF7" s="6">
        <f>IF(AND($U7="reduction of area",$H7="yes"),$Y7,"")</f>
        <v/>
      </c>
    </row>
    <row r="8">
      <c r="A8" s="5" t="inlineStr">
        <is>
          <t>CASKEY-T3-1-RA</t>
        </is>
      </c>
      <c r="B8" s="5" t="inlineStr">
        <is>
          <t>S1</t>
        </is>
      </c>
      <c r="C8" s="5" t="inlineStr">
        <is>
          <t>Caskey 1983</t>
        </is>
      </c>
      <c r="D8" s="5" t="inlineStr">
        <is>
          <t>304L</t>
        </is>
      </c>
      <c r="E8" s="5" t="n"/>
      <c r="F8" s="5" t="inlineStr">
        <is>
          <t>300-series (304 type)</t>
        </is>
      </c>
      <c r="G8" s="5" t="inlineStr">
        <is>
          <t>unknown</t>
        </is>
      </c>
      <c r="H8" s="5" t="inlineStr">
        <is>
          <t>no</t>
        </is>
      </c>
      <c r="I8" s="5" t="inlineStr">
        <is>
          <t>base metal</t>
        </is>
      </c>
      <c r="J8" s="5" t="n"/>
      <c r="K8" s="5" t="n"/>
      <c r="L8" s="5" t="n"/>
      <c r="M8" s="5" t="inlineStr">
        <is>
          <t>gaseous in-situ</t>
        </is>
      </c>
      <c r="N8" s="5" t="n">
        <v>69</v>
      </c>
      <c r="O8" s="5" t="n"/>
      <c r="P8" s="5" t="n"/>
      <c r="Q8" s="5" t="n">
        <v>295</v>
      </c>
      <c r="R8" s="5" t="n">
        <v>21.9</v>
      </c>
      <c r="S8" s="5" t="n"/>
      <c r="T8" s="5" t="inlineStr">
        <is>
          <t>tensile</t>
        </is>
      </c>
      <c r="U8" s="5" t="inlineStr">
        <is>
          <t>reduction of area</t>
        </is>
      </c>
      <c r="V8" s="5" t="inlineStr">
        <is>
          <t>helium</t>
        </is>
      </c>
      <c r="W8" s="5" t="n">
        <v>81</v>
      </c>
      <c r="X8" s="5" t="n">
        <v>33</v>
      </c>
      <c r="Y8" s="5" t="n">
        <v>0.407</v>
      </c>
      <c r="Z8" s="5" t="inlineStr">
        <is>
          <t>significant loss</t>
        </is>
      </c>
      <c r="AA8" s="5" t="n"/>
      <c r="AB8" s="5" t="inlineStr">
        <is>
          <t>relative_ratio</t>
        </is>
      </c>
      <c r="AC8" s="5" t="inlineStr">
        <is>
          <t>yes</t>
        </is>
      </c>
      <c r="AD8" s="5" t="inlineStr">
        <is>
          <t>Caskey DP-1643 Table 3. Condition: annealed. Reference environment 69 MPa helium, not air. Composition from Caskey Table A-1 (nominal).</t>
        </is>
      </c>
      <c r="AE8" s="6">
        <f>IF(AND($U8="reduction of area",$H8="no"),$Y8,"")</f>
        <v/>
      </c>
      <c r="AF8" s="6">
        <f>IF(AND($U8="reduction of area",$H8="yes"),$Y8,"")</f>
        <v/>
      </c>
    </row>
    <row r="9">
      <c r="A9" s="5" t="inlineStr">
        <is>
          <t>CASKEY-T3-2-EL</t>
        </is>
      </c>
      <c r="B9" s="5" t="inlineStr">
        <is>
          <t>S1</t>
        </is>
      </c>
      <c r="C9" s="5" t="inlineStr">
        <is>
          <t>Caskey 1983</t>
        </is>
      </c>
      <c r="D9" s="5" t="inlineStr">
        <is>
          <t>304L</t>
        </is>
      </c>
      <c r="E9" s="5" t="n"/>
      <c r="F9" s="5" t="inlineStr">
        <is>
          <t>300-series (304 type)</t>
        </is>
      </c>
      <c r="G9" s="5" t="inlineStr">
        <is>
          <t>unknown</t>
        </is>
      </c>
      <c r="H9" s="5" t="inlineStr">
        <is>
          <t>no</t>
        </is>
      </c>
      <c r="I9" s="5" t="inlineStr">
        <is>
          <t>base metal</t>
        </is>
      </c>
      <c r="J9" s="5" t="n"/>
      <c r="K9" s="5" t="n"/>
      <c r="L9" s="5" t="n"/>
      <c r="M9" s="5" t="inlineStr">
        <is>
          <t>gaseous in-situ</t>
        </is>
      </c>
      <c r="N9" s="5" t="n">
        <v>69</v>
      </c>
      <c r="O9" s="5" t="n"/>
      <c r="P9" s="5" t="n"/>
      <c r="Q9" s="5" t="n">
        <v>295</v>
      </c>
      <c r="R9" s="5" t="n">
        <v>21.9</v>
      </c>
      <c r="S9" s="5" t="n"/>
      <c r="T9" s="5" t="inlineStr">
        <is>
          <t>tensile</t>
        </is>
      </c>
      <c r="U9" s="5" t="inlineStr">
        <is>
          <t>elongation</t>
        </is>
      </c>
      <c r="V9" s="5" t="inlineStr">
        <is>
          <t>helium</t>
        </is>
      </c>
      <c r="W9" s="5" t="n">
        <v>43</v>
      </c>
      <c r="X9" s="5" t="n">
        <v>41</v>
      </c>
      <c r="Y9" s="5" t="n">
        <v>0.953</v>
      </c>
      <c r="Z9" s="5" t="inlineStr">
        <is>
          <t>no measurable loss</t>
        </is>
      </c>
      <c r="AA9" s="5" t="n"/>
      <c r="AB9" s="5" t="inlineStr">
        <is>
          <t>relative_ratio</t>
        </is>
      </c>
      <c r="AC9" s="5" t="inlineStr">
        <is>
          <t>yes</t>
        </is>
      </c>
      <c r="AD9" s="5" t="inlineStr">
        <is>
          <t>Caskey DP-1643 Table 3. Condition: HERF (high energy rate forged). Reference environment 69 MPa helium, not air. Composition from Caskey Table A-1 (nominal).</t>
        </is>
      </c>
      <c r="AE9" s="6">
        <f>IF(AND($U9="reduction of area",$H9="no"),$Y9,"")</f>
        <v/>
      </c>
      <c r="AF9" s="6">
        <f>IF(AND($U9="reduction of area",$H9="yes"),$Y9,"")</f>
        <v/>
      </c>
    </row>
    <row r="10">
      <c r="A10" s="5" t="inlineStr">
        <is>
          <t>CASKEY-T3-2-RA</t>
        </is>
      </c>
      <c r="B10" s="5" t="inlineStr">
        <is>
          <t>S1</t>
        </is>
      </c>
      <c r="C10" s="5" t="inlineStr">
        <is>
          <t>Caskey 1983</t>
        </is>
      </c>
      <c r="D10" s="5" t="inlineStr">
        <is>
          <t>304L</t>
        </is>
      </c>
      <c r="E10" s="5" t="n"/>
      <c r="F10" s="5" t="inlineStr">
        <is>
          <t>300-series (304 type)</t>
        </is>
      </c>
      <c r="G10" s="5" t="inlineStr">
        <is>
          <t>unknown</t>
        </is>
      </c>
      <c r="H10" s="5" t="inlineStr">
        <is>
          <t>no</t>
        </is>
      </c>
      <c r="I10" s="5" t="inlineStr">
        <is>
          <t>base metal</t>
        </is>
      </c>
      <c r="J10" s="5" t="n"/>
      <c r="K10" s="5" t="n"/>
      <c r="L10" s="5" t="n"/>
      <c r="M10" s="5" t="inlineStr">
        <is>
          <t>gaseous in-situ</t>
        </is>
      </c>
      <c r="N10" s="5" t="n">
        <v>69</v>
      </c>
      <c r="O10" s="5" t="n"/>
      <c r="P10" s="5" t="n"/>
      <c r="Q10" s="5" t="n">
        <v>295</v>
      </c>
      <c r="R10" s="5" t="n">
        <v>21.9</v>
      </c>
      <c r="S10" s="5" t="n"/>
      <c r="T10" s="5" t="inlineStr">
        <is>
          <t>tensile</t>
        </is>
      </c>
      <c r="U10" s="5" t="inlineStr">
        <is>
          <t>reduction of area</t>
        </is>
      </c>
      <c r="V10" s="5" t="inlineStr">
        <is>
          <t>helium</t>
        </is>
      </c>
      <c r="W10" s="5" t="n">
        <v>77</v>
      </c>
      <c r="X10" s="5" t="n">
        <v>69</v>
      </c>
      <c r="Y10" s="5" t="n">
        <v>0.896</v>
      </c>
      <c r="Z10" s="5" t="inlineStr">
        <is>
          <t>moderate loss</t>
        </is>
      </c>
      <c r="AA10" s="5" t="n"/>
      <c r="AB10" s="5" t="inlineStr">
        <is>
          <t>relative_ratio</t>
        </is>
      </c>
      <c r="AC10" s="5" t="inlineStr">
        <is>
          <t>yes</t>
        </is>
      </c>
      <c r="AD10" s="5" t="inlineStr">
        <is>
          <t>Caskey DP-1643 Table 3. Condition: HERF (high energy rate forged). Reference environment 69 MPa helium, not air. Composition from Caskey Table A-1 (nominal).</t>
        </is>
      </c>
      <c r="AE10" s="6">
        <f>IF(AND($U10="reduction of area",$H10="no"),$Y10,"")</f>
        <v/>
      </c>
      <c r="AF10" s="6">
        <f>IF(AND($U10="reduction of area",$H10="yes"),$Y10,"")</f>
        <v/>
      </c>
    </row>
    <row r="11">
      <c r="A11" s="5" t="inlineStr">
        <is>
          <t>CASKEY-T6-1-PS</t>
        </is>
      </c>
      <c r="B11" s="5" t="inlineStr">
        <is>
          <t>S1</t>
        </is>
      </c>
      <c r="C11" s="5" t="inlineStr">
        <is>
          <t>Caskey 1983</t>
        </is>
      </c>
      <c r="D11" s="5" t="inlineStr">
        <is>
          <t>304L</t>
        </is>
      </c>
      <c r="E11" s="5" t="n"/>
      <c r="F11" s="5" t="inlineStr">
        <is>
          <t>300-series (304 type)</t>
        </is>
      </c>
      <c r="G11" s="5" t="inlineStr">
        <is>
          <t>unknown</t>
        </is>
      </c>
      <c r="H11" s="5" t="inlineStr">
        <is>
          <t>no</t>
        </is>
      </c>
      <c r="I11" s="5" t="inlineStr">
        <is>
          <t>base metal</t>
        </is>
      </c>
      <c r="J11" s="5" t="n"/>
      <c r="K11" s="5" t="n"/>
      <c r="L11" s="5" t="n"/>
      <c r="M11" s="5" t="inlineStr">
        <is>
          <t>gaseous precharge</t>
        </is>
      </c>
      <c r="N11" s="5" t="n">
        <v>69</v>
      </c>
      <c r="O11" s="5" t="n"/>
      <c r="P11" s="5" t="n"/>
      <c r="Q11" s="5" t="n">
        <v>295</v>
      </c>
      <c r="R11" s="5" t="n">
        <v>21.9</v>
      </c>
      <c r="S11" s="5" t="n"/>
      <c r="T11" s="5" t="inlineStr">
        <is>
          <t>tensile</t>
        </is>
      </c>
      <c r="U11" s="5" t="inlineStr">
        <is>
          <t>plastic strain to failure</t>
        </is>
      </c>
      <c r="V11" s="5" t="inlineStr">
        <is>
          <t>uncharged</t>
        </is>
      </c>
      <c r="W11" s="5" t="n">
        <v>1.43</v>
      </c>
      <c r="X11" s="5" t="n">
        <v>0.37</v>
      </c>
      <c r="Y11" s="5" t="n">
        <v>0.259</v>
      </c>
      <c r="Z11" s="5" t="inlineStr">
        <is>
          <t>significant loss</t>
        </is>
      </c>
      <c r="AA11" s="5" t="n"/>
      <c r="AB11" s="5" t="inlineStr">
        <is>
          <t>relative_ratio</t>
        </is>
      </c>
      <c r="AC11" s="5" t="inlineStr">
        <is>
          <t>no</t>
        </is>
      </c>
      <c r="AD11" s="5" t="inlineStr">
        <is>
          <t>Caskey Table 6, smooth specimen; reference = annealed in argon Composition from Caskey Table A-1 (nominal).</t>
        </is>
      </c>
      <c r="AE11" s="6">
        <f>IF(AND($U11="reduction of area",$H11="no"),$Y11,"")</f>
        <v/>
      </c>
      <c r="AF11" s="6">
        <f>IF(AND($U11="reduction of area",$H11="yes"),$Y11,"")</f>
        <v/>
      </c>
    </row>
    <row r="12">
      <c r="A12" s="5" t="inlineStr">
        <is>
          <t>CASKEY-T6-1-TS</t>
        </is>
      </c>
      <c r="B12" s="5" t="inlineStr">
        <is>
          <t>S1</t>
        </is>
      </c>
      <c r="C12" s="5" t="inlineStr">
        <is>
          <t>Caskey 1983</t>
        </is>
      </c>
      <c r="D12" s="5" t="inlineStr">
        <is>
          <t>304L</t>
        </is>
      </c>
      <c r="E12" s="5" t="n"/>
      <c r="F12" s="5" t="inlineStr">
        <is>
          <t>300-series (304 type)</t>
        </is>
      </c>
      <c r="G12" s="5" t="inlineStr">
        <is>
          <t>unknown</t>
        </is>
      </c>
      <c r="H12" s="5" t="inlineStr">
        <is>
          <t>no</t>
        </is>
      </c>
      <c r="I12" s="5" t="inlineStr">
        <is>
          <t>base metal</t>
        </is>
      </c>
      <c r="J12" s="5" t="n"/>
      <c r="K12" s="5" t="n"/>
      <c r="L12" s="5" t="n"/>
      <c r="M12" s="5" t="inlineStr">
        <is>
          <t>gaseous precharge</t>
        </is>
      </c>
      <c r="N12" s="5" t="n">
        <v>69</v>
      </c>
      <c r="O12" s="5" t="n"/>
      <c r="P12" s="5" t="n"/>
      <c r="Q12" s="5" t="n">
        <v>295</v>
      </c>
      <c r="R12" s="5" t="n">
        <v>21.9</v>
      </c>
      <c r="S12" s="5" t="n"/>
      <c r="T12" s="5" t="inlineStr">
        <is>
          <t>tensile</t>
        </is>
      </c>
      <c r="U12" s="5" t="inlineStr">
        <is>
          <t>tensile strength</t>
        </is>
      </c>
      <c r="V12" s="5" t="inlineStr">
        <is>
          <t>uncharged</t>
        </is>
      </c>
      <c r="W12" s="5" t="n">
        <v>600</v>
      </c>
      <c r="X12" s="5" t="n">
        <v>530</v>
      </c>
      <c r="Y12" s="5" t="n">
        <v>0.883</v>
      </c>
      <c r="Z12" s="5" t="inlineStr">
        <is>
          <t>moderate loss</t>
        </is>
      </c>
      <c r="AA12" s="5" t="n"/>
      <c r="AB12" s="5" t="inlineStr">
        <is>
          <t>relative_ratio</t>
        </is>
      </c>
      <c r="AC12" s="5" t="inlineStr">
        <is>
          <t>no</t>
        </is>
      </c>
      <c r="AD12" s="5" t="inlineStr">
        <is>
          <t>Caskey Table 6, smooth specimen; hydrogen gas 69 MPa, 200 days at 380 K; reference = annealed 200 d at 380 K in argon Composition from Caskey Table A-1 (nominal).</t>
        </is>
      </c>
      <c r="AE12" s="6">
        <f>IF(AND($U12="reduction of area",$H12="no"),$Y12,"")</f>
        <v/>
      </c>
      <c r="AF12" s="6">
        <f>IF(AND($U12="reduction of area",$H12="yes"),$Y12,"")</f>
        <v/>
      </c>
    </row>
    <row r="13">
      <c r="A13" s="5" t="inlineStr">
        <is>
          <t>CASKEY-T6-2-PS</t>
        </is>
      </c>
      <c r="B13" s="5" t="inlineStr">
        <is>
          <t>S1</t>
        </is>
      </c>
      <c r="C13" s="5" t="inlineStr">
        <is>
          <t>Caskey 1983</t>
        </is>
      </c>
      <c r="D13" s="5" t="inlineStr">
        <is>
          <t>304L</t>
        </is>
      </c>
      <c r="E13" s="5" t="n"/>
      <c r="F13" s="5" t="inlineStr">
        <is>
          <t>300-series (304 type)</t>
        </is>
      </c>
      <c r="G13" s="5" t="inlineStr">
        <is>
          <t>unknown</t>
        </is>
      </c>
      <c r="H13" s="5" t="inlineStr">
        <is>
          <t>no</t>
        </is>
      </c>
      <c r="I13" s="5" t="inlineStr">
        <is>
          <t>base metal</t>
        </is>
      </c>
      <c r="J13" s="5" t="n"/>
      <c r="K13" s="5" t="n"/>
      <c r="L13" s="5" t="n"/>
      <c r="M13" s="5" t="inlineStr">
        <is>
          <t>gaseous precharge</t>
        </is>
      </c>
      <c r="N13" s="5" t="n">
        <v>69</v>
      </c>
      <c r="O13" s="5" t="n"/>
      <c r="P13" s="5" t="n"/>
      <c r="Q13" s="5" t="n">
        <v>295</v>
      </c>
      <c r="R13" s="5" t="n">
        <v>21.9</v>
      </c>
      <c r="S13" s="5" t="n"/>
      <c r="T13" s="5" t="inlineStr">
        <is>
          <t>tensile</t>
        </is>
      </c>
      <c r="U13" s="5" t="inlineStr">
        <is>
          <t>plastic strain to failure</t>
        </is>
      </c>
      <c r="V13" s="5" t="inlineStr">
        <is>
          <t>uncharged</t>
        </is>
      </c>
      <c r="W13" s="5" t="n">
        <v>0.24</v>
      </c>
      <c r="X13" s="5" t="n">
        <v>0.13</v>
      </c>
      <c r="Y13" s="5" t="n">
        <v>0.542</v>
      </c>
      <c r="Z13" s="5" t="inlineStr">
        <is>
          <t>significant loss</t>
        </is>
      </c>
      <c r="AA13" s="5" t="n"/>
      <c r="AB13" s="5" t="inlineStr">
        <is>
          <t>relative_ratio</t>
        </is>
      </c>
      <c r="AC13" s="5" t="inlineStr">
        <is>
          <t>no</t>
        </is>
      </c>
      <c r="AD13" s="5" t="inlineStr">
        <is>
          <t>Caskey Table 6, notched specimen; reference = annealed in argon Composition from Caskey Table A-1 (nominal).</t>
        </is>
      </c>
      <c r="AE13" s="6">
        <f>IF(AND($U13="reduction of area",$H13="no"),$Y13,"")</f>
        <v/>
      </c>
      <c r="AF13" s="6">
        <f>IF(AND($U13="reduction of area",$H13="yes"),$Y13,"")</f>
        <v/>
      </c>
    </row>
    <row r="14">
      <c r="A14" s="5" t="inlineStr">
        <is>
          <t>CASKEY-T6-2-TS</t>
        </is>
      </c>
      <c r="B14" s="5" t="inlineStr">
        <is>
          <t>S1</t>
        </is>
      </c>
      <c r="C14" s="5" t="inlineStr">
        <is>
          <t>Caskey 1983</t>
        </is>
      </c>
      <c r="D14" s="5" t="inlineStr">
        <is>
          <t>304L</t>
        </is>
      </c>
      <c r="E14" s="5" t="n"/>
      <c r="F14" s="5" t="inlineStr">
        <is>
          <t>300-series (304 type)</t>
        </is>
      </c>
      <c r="G14" s="5" t="inlineStr">
        <is>
          <t>unknown</t>
        </is>
      </c>
      <c r="H14" s="5" t="inlineStr">
        <is>
          <t>no</t>
        </is>
      </c>
      <c r="I14" s="5" t="inlineStr">
        <is>
          <t>base metal</t>
        </is>
      </c>
      <c r="J14" s="5" t="n"/>
      <c r="K14" s="5" t="n"/>
      <c r="L14" s="5" t="n"/>
      <c r="M14" s="5" t="inlineStr">
        <is>
          <t>gaseous precharge</t>
        </is>
      </c>
      <c r="N14" s="5" t="n">
        <v>69</v>
      </c>
      <c r="O14" s="5" t="n"/>
      <c r="P14" s="5" t="n"/>
      <c r="Q14" s="5" t="n">
        <v>295</v>
      </c>
      <c r="R14" s="5" t="n">
        <v>21.9</v>
      </c>
      <c r="S14" s="5" t="n"/>
      <c r="T14" s="5" t="inlineStr">
        <is>
          <t>tensile</t>
        </is>
      </c>
      <c r="U14" s="5" t="inlineStr">
        <is>
          <t>notched tensile strength</t>
        </is>
      </c>
      <c r="V14" s="5" t="inlineStr">
        <is>
          <t>uncharged</t>
        </is>
      </c>
      <c r="W14" s="5" t="n">
        <v>710</v>
      </c>
      <c r="X14" s="5" t="n">
        <v>580</v>
      </c>
      <c r="Y14" s="5" t="n">
        <v>0.8169999999999999</v>
      </c>
      <c r="Z14" s="5" t="inlineStr">
        <is>
          <t>moderate loss</t>
        </is>
      </c>
      <c r="AA14" s="5" t="n"/>
      <c r="AB14" s="5" t="inlineStr">
        <is>
          <t>relative_ratio</t>
        </is>
      </c>
      <c r="AC14" s="5" t="inlineStr">
        <is>
          <t>no</t>
        </is>
      </c>
      <c r="AD14" s="5" t="inlineStr">
        <is>
          <t>Caskey Table 6, notched specimen; reference = annealed in argon Composition from Caskey Table A-1 (nominal).</t>
        </is>
      </c>
      <c r="AE14" s="6">
        <f>IF(AND($U14="reduction of area",$H14="no"),$Y14,"")</f>
        <v/>
      </c>
      <c r="AF14" s="6">
        <f>IF(AND($U14="reduction of area",$H14="yes"),$Y14,"")</f>
        <v/>
      </c>
    </row>
    <row r="15">
      <c r="A15" s="5" t="inlineStr">
        <is>
          <t>SAND2012-ch2101-T3111-1</t>
        </is>
      </c>
      <c r="B15" s="5" t="inlineStr">
        <is>
          <t>S2</t>
        </is>
      </c>
      <c r="C15" s="5" t="inlineStr">
        <is>
          <t>San Marchi 2012</t>
        </is>
      </c>
      <c r="D15" s="5" t="inlineStr">
        <is>
          <t>304L</t>
        </is>
      </c>
      <c r="E15" s="5" t="inlineStr">
        <is>
          <t>W69</t>
        </is>
      </c>
      <c r="F15" s="5" t="inlineStr">
        <is>
          <t>300-series (304 type)</t>
        </is>
      </c>
      <c r="G15" s="5" t="inlineStr">
        <is>
          <t>unknown</t>
        </is>
      </c>
      <c r="H15" s="5" t="inlineStr">
        <is>
          <t>no</t>
        </is>
      </c>
      <c r="I15" s="5" t="inlineStr">
        <is>
          <t>base metal</t>
        </is>
      </c>
      <c r="J15" s="5" t="n"/>
      <c r="K15" s="5" t="n"/>
      <c r="L15" s="5" t="n"/>
      <c r="M15" s="5" t="inlineStr">
        <is>
          <t>gaseous in-situ</t>
        </is>
      </c>
      <c r="N15" s="5" t="n">
        <v>69</v>
      </c>
      <c r="O15" s="5" t="n"/>
      <c r="P15" s="5" t="n"/>
      <c r="Q15" s="5" t="n">
        <v>295</v>
      </c>
      <c r="R15" s="5" t="n">
        <v>21.9</v>
      </c>
      <c r="S15" s="5" t="n">
        <v>0.00067</v>
      </c>
      <c r="T15" s="5" t="inlineStr">
        <is>
          <t>tensile</t>
        </is>
      </c>
      <c r="U15" s="5" t="inlineStr">
        <is>
          <t>reduction of area</t>
        </is>
      </c>
      <c r="V15" s="5" t="inlineStr">
        <is>
          <t>helium</t>
        </is>
      </c>
      <c r="W15" s="5" t="n">
        <v>78</v>
      </c>
      <c r="X15" s="5" t="n">
        <v>71</v>
      </c>
      <c r="Y15" s="5" t="n">
        <v>0.91</v>
      </c>
      <c r="Z15" s="5" t="inlineStr">
        <is>
          <t>moderate loss</t>
        </is>
      </c>
      <c r="AA15" s="5" t="n"/>
      <c r="AB15" s="5" t="inlineStr">
        <is>
          <t>relative_ratio</t>
        </is>
      </c>
      <c r="AC15" s="5" t="inlineStr">
        <is>
          <t>no</t>
        </is>
      </c>
      <c r="AD15" s="5" t="inlineStr">
        <is>
          <t>SAND2012-7321 (San Marchi &amp; Somerday), chapter 2101 Table 3.1.1.1. Annealed; external 69 MPa H2 vs 69 MPa He. Ref [15,23].</t>
        </is>
      </c>
      <c r="AE15" s="6">
        <f>IF(AND($U15="reduction of area",$H15="no"),$Y15,"")</f>
        <v/>
      </c>
      <c r="AF15" s="6">
        <f>IF(AND($U15="reduction of area",$H15="yes"),$Y15,"")</f>
        <v/>
      </c>
    </row>
    <row r="16">
      <c r="A16" s="5" t="inlineStr">
        <is>
          <t>SAND2012-ch2101-T3111-2</t>
        </is>
      </c>
      <c r="B16" s="5" t="inlineStr">
        <is>
          <t>S2</t>
        </is>
      </c>
      <c r="C16" s="5" t="inlineStr">
        <is>
          <t>San Marchi 2012</t>
        </is>
      </c>
      <c r="D16" s="5" t="inlineStr">
        <is>
          <t>304L</t>
        </is>
      </c>
      <c r="E16" s="5" t="n"/>
      <c r="F16" s="5" t="inlineStr">
        <is>
          <t>300-series (304 type)</t>
        </is>
      </c>
      <c r="G16" s="5" t="inlineStr">
        <is>
          <t>unknown</t>
        </is>
      </c>
      <c r="H16" s="5" t="inlineStr">
        <is>
          <t>no</t>
        </is>
      </c>
      <c r="I16" s="5" t="inlineStr">
        <is>
          <t>base metal</t>
        </is>
      </c>
      <c r="J16" s="5" t="n"/>
      <c r="K16" s="5" t="n"/>
      <c r="L16" s="5" t="n"/>
      <c r="M16" s="5" t="inlineStr">
        <is>
          <t>gaseous in-situ</t>
        </is>
      </c>
      <c r="N16" s="5" t="n">
        <v>34</v>
      </c>
      <c r="O16" s="5" t="n"/>
      <c r="P16" s="5" t="n">
        <v>24</v>
      </c>
      <c r="Q16" s="5" t="n">
        <v>295</v>
      </c>
      <c r="R16" s="5" t="n">
        <v>21.9</v>
      </c>
      <c r="S16" s="5" t="n"/>
      <c r="T16" s="5" t="inlineStr">
        <is>
          <t>tensile</t>
        </is>
      </c>
      <c r="U16" s="5" t="inlineStr">
        <is>
          <t>reduction of area</t>
        </is>
      </c>
      <c r="V16" s="5" t="inlineStr">
        <is>
          <t>air</t>
        </is>
      </c>
      <c r="W16" s="5" t="n">
        <v>60</v>
      </c>
      <c r="X16" s="5" t="n">
        <v>46</v>
      </c>
      <c r="Y16" s="5" t="n">
        <v>0.767</v>
      </c>
      <c r="Z16" s="5" t="inlineStr">
        <is>
          <t>significant loss</t>
        </is>
      </c>
      <c r="AA16" s="5" t="n"/>
      <c r="AB16" s="5" t="inlineStr">
        <is>
          <t>relative_ratio</t>
        </is>
      </c>
      <c r="AC16" s="5" t="inlineStr">
        <is>
          <t>no</t>
        </is>
      </c>
      <c r="AD16" s="5" t="inlineStr">
        <is>
          <t>SAND2012-7321 (San Marchi &amp; Somerday), chapter 2101 Table 3.1.1.1. Held at test pressure 24 h before loading. Ref [15].</t>
        </is>
      </c>
      <c r="AE16" s="6">
        <f>IF(AND($U16="reduction of area",$H16="no"),$Y16,"")</f>
        <v/>
      </c>
      <c r="AF16" s="6">
        <f>IF(AND($U16="reduction of area",$H16="yes"),$Y16,"")</f>
        <v/>
      </c>
    </row>
    <row r="17">
      <c r="A17" s="5" t="inlineStr">
        <is>
          <t>SAND2012-ch2101-T3111-3</t>
        </is>
      </c>
      <c r="B17" s="5" t="inlineStr">
        <is>
          <t>S2</t>
        </is>
      </c>
      <c r="C17" s="5" t="inlineStr">
        <is>
          <t>San Marchi 2012</t>
        </is>
      </c>
      <c r="D17" s="5" t="inlineStr">
        <is>
          <t>304L</t>
        </is>
      </c>
      <c r="E17" s="5" t="n"/>
      <c r="F17" s="5" t="inlineStr">
        <is>
          <t>300-series (304 type)</t>
        </is>
      </c>
      <c r="G17" s="5" t="inlineStr">
        <is>
          <t>unknown</t>
        </is>
      </c>
      <c r="H17" s="5" t="inlineStr">
        <is>
          <t>no</t>
        </is>
      </c>
      <c r="I17" s="5" t="inlineStr">
        <is>
          <t>base metal</t>
        </is>
      </c>
      <c r="J17" s="5" t="n"/>
      <c r="K17" s="5" t="n"/>
      <c r="L17" s="5" t="n"/>
      <c r="M17" s="5" t="inlineStr">
        <is>
          <t>gaseous in-situ</t>
        </is>
      </c>
      <c r="N17" s="5" t="n">
        <v>69</v>
      </c>
      <c r="O17" s="5" t="n"/>
      <c r="P17" s="5" t="n">
        <v>24</v>
      </c>
      <c r="Q17" s="5" t="n">
        <v>295</v>
      </c>
      <c r="R17" s="5" t="n">
        <v>21.9</v>
      </c>
      <c r="S17" s="5" t="n"/>
      <c r="T17" s="5" t="inlineStr">
        <is>
          <t>tensile</t>
        </is>
      </c>
      <c r="U17" s="5" t="inlineStr">
        <is>
          <t>reduction of area</t>
        </is>
      </c>
      <c r="V17" s="5" t="inlineStr">
        <is>
          <t>air</t>
        </is>
      </c>
      <c r="W17" s="5" t="n">
        <v>60</v>
      </c>
      <c r="X17" s="5" t="n">
        <v>44</v>
      </c>
      <c r="Y17" s="5" t="n">
        <v>0.733</v>
      </c>
      <c r="Z17" s="5" t="inlineStr">
        <is>
          <t>significant loss</t>
        </is>
      </c>
      <c r="AA17" s="5" t="n"/>
      <c r="AB17" s="5" t="inlineStr">
        <is>
          <t>relative_ratio</t>
        </is>
      </c>
      <c r="AC17" s="5" t="inlineStr">
        <is>
          <t>no</t>
        </is>
      </c>
      <c r="AD17" s="5" t="inlineStr">
        <is>
          <t>SAND2012-7321 (San Marchi &amp; Somerday), chapter 2101 Table 3.1.1.1. Held at test pressure 24 h before loading. Ref [15].</t>
        </is>
      </c>
      <c r="AE17" s="6">
        <f>IF(AND($U17="reduction of area",$H17="no"),$Y17,"")</f>
        <v/>
      </c>
      <c r="AF17" s="6">
        <f>IF(AND($U17="reduction of area",$H17="yes"),$Y17,"")</f>
        <v/>
      </c>
    </row>
    <row r="18">
      <c r="A18" s="5" t="inlineStr">
        <is>
          <t>SAND2012-ch2101-T3111-4</t>
        </is>
      </c>
      <c r="B18" s="5" t="inlineStr">
        <is>
          <t>S2</t>
        </is>
      </c>
      <c r="C18" s="5" t="inlineStr">
        <is>
          <t>San Marchi 2012</t>
        </is>
      </c>
      <c r="D18" s="5" t="inlineStr">
        <is>
          <t>304L</t>
        </is>
      </c>
      <c r="E18" s="5" t="inlineStr">
        <is>
          <t>O76</t>
        </is>
      </c>
      <c r="F18" s="5" t="inlineStr">
        <is>
          <t>300-series (304 type)</t>
        </is>
      </c>
      <c r="G18" s="5" t="inlineStr">
        <is>
          <t>plate</t>
        </is>
      </c>
      <c r="H18" s="5" t="inlineStr">
        <is>
          <t>no</t>
        </is>
      </c>
      <c r="I18" s="5" t="inlineStr">
        <is>
          <t>base metal</t>
        </is>
      </c>
      <c r="J18" s="5" t="n"/>
      <c r="K18" s="5" t="n"/>
      <c r="L18" s="5" t="n"/>
      <c r="M18" s="5" t="inlineStr">
        <is>
          <t>gaseous precharge</t>
        </is>
      </c>
      <c r="N18" s="5" t="n">
        <v>69</v>
      </c>
      <c r="O18" s="5" t="n">
        <v>55</v>
      </c>
      <c r="P18" s="5" t="n">
        <v>240</v>
      </c>
      <c r="Q18" s="5" t="n">
        <v>295</v>
      </c>
      <c r="R18" s="5" t="n">
        <v>21.9</v>
      </c>
      <c r="S18" s="5" t="n">
        <v>0.003</v>
      </c>
      <c r="T18" s="5" t="inlineStr">
        <is>
          <t>tensile</t>
        </is>
      </c>
      <c r="U18" s="5" t="inlineStr">
        <is>
          <t>reduction of area</t>
        </is>
      </c>
      <c r="V18" s="5" t="inlineStr">
        <is>
          <t>air</t>
        </is>
      </c>
      <c r="W18" s="5" t="n">
        <v>77</v>
      </c>
      <c r="X18" s="5" t="n">
        <v>32</v>
      </c>
      <c r="Y18" s="5" t="n">
        <v>0.416</v>
      </c>
      <c r="Z18" s="5" t="inlineStr">
        <is>
          <t>significant loss</t>
        </is>
      </c>
      <c r="AA18" s="5" t="n"/>
      <c r="AB18" s="5" t="inlineStr">
        <is>
          <t>relative_ratio</t>
        </is>
      </c>
      <c r="AC18" s="5" t="inlineStr">
        <is>
          <t>no</t>
        </is>
      </c>
      <c r="AD18" s="5" t="inlineStr">
        <is>
          <t>SAND2012-7321 (San Marchi &amp; Somerday), chapter 2101 Table 3.1.1.1. Annealed plate; precharged 24.1 MPa H2, 473 K, 240 h (55 wppm surface) then tested in 69 MPa H2. Ref [5].</t>
        </is>
      </c>
      <c r="AE18" s="6">
        <f>IF(AND($U18="reduction of area",$H18="no"),$Y18,"")</f>
        <v/>
      </c>
      <c r="AF18" s="6">
        <f>IF(AND($U18="reduction of area",$H18="yes"),$Y18,"")</f>
        <v/>
      </c>
    </row>
    <row r="19">
      <c r="A19" s="5" t="inlineStr">
        <is>
          <t>SAND2012-ch2101-T3111-5</t>
        </is>
      </c>
      <c r="B19" s="5" t="inlineStr">
        <is>
          <t>S2</t>
        </is>
      </c>
      <c r="C19" s="5" t="inlineStr">
        <is>
          <t>San Marchi 2012</t>
        </is>
      </c>
      <c r="D19" s="5" t="inlineStr">
        <is>
          <t>304L</t>
        </is>
      </c>
      <c r="E19" s="5" t="n"/>
      <c r="F19" s="5" t="inlineStr">
        <is>
          <t>300-series (304 type)</t>
        </is>
      </c>
      <c r="G19" s="5" t="inlineStr">
        <is>
          <t>unknown</t>
        </is>
      </c>
      <c r="H19" s="5" t="inlineStr">
        <is>
          <t>no</t>
        </is>
      </c>
      <c r="I19" s="5" t="inlineStr">
        <is>
          <t>base metal</t>
        </is>
      </c>
      <c r="J19" s="5" t="n"/>
      <c r="K19" s="5" t="n"/>
      <c r="L19" s="5" t="n"/>
      <c r="M19" s="5" t="inlineStr">
        <is>
          <t>gaseous in-situ</t>
        </is>
      </c>
      <c r="N19" s="5" t="n">
        <v>69</v>
      </c>
      <c r="O19" s="5" t="n"/>
      <c r="P19" s="5" t="n"/>
      <c r="Q19" s="5" t="n">
        <v>295</v>
      </c>
      <c r="R19" s="5" t="n">
        <v>21.9</v>
      </c>
      <c r="S19" s="5" t="n"/>
      <c r="T19" s="5" t="inlineStr">
        <is>
          <t>tensile</t>
        </is>
      </c>
      <c r="U19" s="5" t="inlineStr">
        <is>
          <t>reduction of area</t>
        </is>
      </c>
      <c r="V19" s="5" t="inlineStr">
        <is>
          <t>helium</t>
        </is>
      </c>
      <c r="W19" s="5" t="n">
        <v>81</v>
      </c>
      <c r="X19" s="5" t="n">
        <v>33</v>
      </c>
      <c r="Y19" s="5" t="n">
        <v>0.407</v>
      </c>
      <c r="Z19" s="5" t="inlineStr">
        <is>
          <t>significant loss</t>
        </is>
      </c>
      <c r="AA19" s="5" t="n"/>
      <c r="AB19" s="5" t="inlineStr">
        <is>
          <t>relative_ratio</t>
        </is>
      </c>
      <c r="AC19" s="5" t="inlineStr">
        <is>
          <t>no</t>
        </is>
      </c>
      <c r="AD19" s="5" t="inlineStr">
        <is>
          <t>SAND2012-7321 (San Marchi &amp; Somerday), chapter 2101 Table 3.1.1.1. 69 MPa H2 vs 69 MPa He. Ref [4,25]. NOTE: matches Caskey DP-1643 Table 3 annealed 304L; the condition is annealed, not HERF.</t>
        </is>
      </c>
      <c r="AE19" s="6">
        <f>IF(AND($U19="reduction of area",$H19="no"),$Y19,"")</f>
        <v/>
      </c>
      <c r="AF19" s="6">
        <f>IF(AND($U19="reduction of area",$H19="yes"),$Y19,"")</f>
        <v/>
      </c>
    </row>
    <row r="20">
      <c r="A20" s="5" t="inlineStr">
        <is>
          <t>YOUNES13-EB-110</t>
        </is>
      </c>
      <c r="B20" s="5" t="inlineStr">
        <is>
          <t>S6</t>
        </is>
      </c>
      <c r="C20" s="5" t="inlineStr">
        <is>
          <t>Younes 2013</t>
        </is>
      </c>
      <c r="D20" s="5" t="inlineStr">
        <is>
          <t>304L EB weld</t>
        </is>
      </c>
      <c r="E20" s="5" t="n"/>
      <c r="F20" s="5" t="inlineStr">
        <is>
          <t>300-series (304 type)</t>
        </is>
      </c>
      <c r="G20" s="5" t="inlineStr">
        <is>
          <t>weld</t>
        </is>
      </c>
      <c r="H20" s="5" t="inlineStr">
        <is>
          <t>yes</t>
        </is>
      </c>
      <c r="I20" s="5" t="inlineStr">
        <is>
          <t>weld metal</t>
        </is>
      </c>
      <c r="J20" s="5" t="inlineStr">
        <is>
          <t>EBW</t>
        </is>
      </c>
      <c r="K20" s="5" t="n"/>
      <c r="L20" s="5" t="n"/>
      <c r="M20" s="5" t="inlineStr">
        <is>
          <t>gaseous precharge</t>
        </is>
      </c>
      <c r="N20" s="5" t="n"/>
      <c r="O20" s="5" t="n">
        <v>110</v>
      </c>
      <c r="P20" s="5" t="n"/>
      <c r="Q20" s="5" t="n">
        <v>295</v>
      </c>
      <c r="R20" s="5" t="n">
        <v>21.9</v>
      </c>
      <c r="S20" s="5" t="n"/>
      <c r="T20" s="5" t="inlineStr">
        <is>
          <t>tensile</t>
        </is>
      </c>
      <c r="U20" s="5" t="inlineStr">
        <is>
          <t>reduction of area</t>
        </is>
      </c>
      <c r="V20" s="5" t="inlineStr">
        <is>
          <t>uncharged</t>
        </is>
      </c>
      <c r="W20" s="5" t="n"/>
      <c r="X20" s="5" t="n"/>
      <c r="Y20" s="5" t="n">
        <v>0.61</v>
      </c>
      <c r="Z20" s="5" t="inlineStr">
        <is>
          <t>significant loss</t>
        </is>
      </c>
      <c r="AA20" s="5" t="n"/>
      <c r="AB20" s="5" t="inlineStr">
        <is>
          <t>relative_ratio</t>
        </is>
      </c>
      <c r="AC20" s="5" t="inlineStr">
        <is>
          <t>no</t>
        </is>
      </c>
      <c r="AD20" s="5" t="inlineStr">
        <is>
          <t>Younes et al., Int. J. Hydrogen Energy 38 (2013) 4864. Table 4. 304L tube, thermally charged in hydrogen gas to the stated content; RA loss reported rather than absolute values, so relative_ratio = 1 - loss/100. 304L electron-beam weld, 110 wppm hydrogen, RA loss 39%.</t>
        </is>
      </c>
      <c r="AE20" s="6">
        <f>IF(AND($U20="reduction of area",$H20="no"),$Y20,"")</f>
        <v/>
      </c>
      <c r="AF20" s="6">
        <f>IF(AND($U20="reduction of area",$H20="yes"),$Y20,"")</f>
        <v/>
      </c>
    </row>
    <row r="21">
      <c r="A21" s="5" t="inlineStr">
        <is>
          <t>YOUNES13-EB-160</t>
        </is>
      </c>
      <c r="B21" s="5" t="inlineStr">
        <is>
          <t>S6</t>
        </is>
      </c>
      <c r="C21" s="5" t="inlineStr">
        <is>
          <t>Younes 2013</t>
        </is>
      </c>
      <c r="D21" s="5" t="inlineStr">
        <is>
          <t>304L EB weld</t>
        </is>
      </c>
      <c r="E21" s="5" t="n"/>
      <c r="F21" s="5" t="inlineStr">
        <is>
          <t>300-series (304 type)</t>
        </is>
      </c>
      <c r="G21" s="5" t="inlineStr">
        <is>
          <t>weld</t>
        </is>
      </c>
      <c r="H21" s="5" t="inlineStr">
        <is>
          <t>yes</t>
        </is>
      </c>
      <c r="I21" s="5" t="inlineStr">
        <is>
          <t>weld metal</t>
        </is>
      </c>
      <c r="J21" s="5" t="inlineStr">
        <is>
          <t>EBW</t>
        </is>
      </c>
      <c r="K21" s="5" t="n"/>
      <c r="L21" s="5" t="n"/>
      <c r="M21" s="5" t="inlineStr">
        <is>
          <t>gaseous precharge</t>
        </is>
      </c>
      <c r="N21" s="5" t="n"/>
      <c r="O21" s="5" t="n">
        <v>160</v>
      </c>
      <c r="P21" s="5" t="n"/>
      <c r="Q21" s="5" t="n">
        <v>295</v>
      </c>
      <c r="R21" s="5" t="n">
        <v>21.9</v>
      </c>
      <c r="S21" s="5" t="n"/>
      <c r="T21" s="5" t="inlineStr">
        <is>
          <t>tensile</t>
        </is>
      </c>
      <c r="U21" s="5" t="inlineStr">
        <is>
          <t>reduction of area</t>
        </is>
      </c>
      <c r="V21" s="5" t="inlineStr">
        <is>
          <t>uncharged</t>
        </is>
      </c>
      <c r="W21" s="5" t="n"/>
      <c r="X21" s="5" t="n"/>
      <c r="Y21" s="5" t="n">
        <v>0.49</v>
      </c>
      <c r="Z21" s="5" t="inlineStr">
        <is>
          <t>significant loss</t>
        </is>
      </c>
      <c r="AA21" s="5" t="n"/>
      <c r="AB21" s="5" t="inlineStr">
        <is>
          <t>relative_ratio</t>
        </is>
      </c>
      <c r="AC21" s="5" t="inlineStr">
        <is>
          <t>no</t>
        </is>
      </c>
      <c r="AD21" s="5" t="inlineStr">
        <is>
          <t>Younes et al., Int. J. Hydrogen Energy 38 (2013) 4864. Table 4. 304L tube, thermally charged in hydrogen gas to the stated content; RA loss reported rather than absolute values, so relative_ratio = 1 - loss/100. 304L electron-beam weld, 160 wppm hydrogen, RA loss 51%.</t>
        </is>
      </c>
      <c r="AE21" s="6">
        <f>IF(AND($U21="reduction of area",$H21="no"),$Y21,"")</f>
        <v/>
      </c>
      <c r="AF21" s="6">
        <f>IF(AND($U21="reduction of area",$H21="yes"),$Y21,"")</f>
        <v/>
      </c>
    </row>
    <row r="22">
      <c r="A22" s="5" t="inlineStr">
        <is>
          <t>YOUNES13-EB-57</t>
        </is>
      </c>
      <c r="B22" s="5" t="inlineStr">
        <is>
          <t>S6</t>
        </is>
      </c>
      <c r="C22" s="5" t="inlineStr">
        <is>
          <t>Younes 2013</t>
        </is>
      </c>
      <c r="D22" s="5" t="inlineStr">
        <is>
          <t>304L EB weld</t>
        </is>
      </c>
      <c r="E22" s="5" t="n"/>
      <c r="F22" s="5" t="inlineStr">
        <is>
          <t>300-series (304 type)</t>
        </is>
      </c>
      <c r="G22" s="5" t="inlineStr">
        <is>
          <t>weld</t>
        </is>
      </c>
      <c r="H22" s="5" t="inlineStr">
        <is>
          <t>yes</t>
        </is>
      </c>
      <c r="I22" s="5" t="inlineStr">
        <is>
          <t>weld metal</t>
        </is>
      </c>
      <c r="J22" s="5" t="inlineStr">
        <is>
          <t>EBW</t>
        </is>
      </c>
      <c r="K22" s="5" t="n"/>
      <c r="L22" s="5" t="n"/>
      <c r="M22" s="5" t="inlineStr">
        <is>
          <t>gaseous precharge</t>
        </is>
      </c>
      <c r="N22" s="5" t="n"/>
      <c r="O22" s="5" t="n">
        <v>57</v>
      </c>
      <c r="P22" s="5" t="n"/>
      <c r="Q22" s="5" t="n">
        <v>295</v>
      </c>
      <c r="R22" s="5" t="n">
        <v>21.9</v>
      </c>
      <c r="S22" s="5" t="n"/>
      <c r="T22" s="5" t="inlineStr">
        <is>
          <t>tensile</t>
        </is>
      </c>
      <c r="U22" s="5" t="inlineStr">
        <is>
          <t>reduction of area</t>
        </is>
      </c>
      <c r="V22" s="5" t="inlineStr">
        <is>
          <t>uncharged</t>
        </is>
      </c>
      <c r="W22" s="5" t="n"/>
      <c r="X22" s="5" t="n"/>
      <c r="Y22" s="5" t="n">
        <v>0.8</v>
      </c>
      <c r="Z22" s="5" t="inlineStr">
        <is>
          <t>moderate loss</t>
        </is>
      </c>
      <c r="AA22" s="5" t="n"/>
      <c r="AB22" s="5" t="inlineStr">
        <is>
          <t>relative_ratio</t>
        </is>
      </c>
      <c r="AC22" s="5" t="inlineStr">
        <is>
          <t>no</t>
        </is>
      </c>
      <c r="AD22" s="5" t="inlineStr">
        <is>
          <t>Younes et al., Int. J. Hydrogen Energy 38 (2013) 4864. Table 4. 304L tube, thermally charged in hydrogen gas to the stated content; RA loss reported rather than absolute values, so relative_ratio = 1 - loss/100. 304L electron-beam weld, 57 wppm hydrogen, RA loss 20%.</t>
        </is>
      </c>
      <c r="AE22" s="6">
        <f>IF(AND($U22="reduction of area",$H22="no"),$Y22,"")</f>
        <v/>
      </c>
      <c r="AF22" s="6">
        <f>IF(AND($U22="reduction of area",$H22="yes"),$Y22,"")</f>
        <v/>
      </c>
    </row>
    <row r="23">
      <c r="A23" s="5" t="inlineStr">
        <is>
          <t>YOUNES13-TIG-110</t>
        </is>
      </c>
      <c r="B23" s="5" t="inlineStr">
        <is>
          <t>S6</t>
        </is>
      </c>
      <c r="C23" s="5" t="inlineStr">
        <is>
          <t>Younes 2013</t>
        </is>
      </c>
      <c r="D23" s="5" t="inlineStr">
        <is>
          <t>304L TIG weld</t>
        </is>
      </c>
      <c r="E23" s="5" t="n"/>
      <c r="F23" s="5" t="inlineStr">
        <is>
          <t>300-series (304 type)</t>
        </is>
      </c>
      <c r="G23" s="5" t="inlineStr">
        <is>
          <t>weld</t>
        </is>
      </c>
      <c r="H23" s="5" t="inlineStr">
        <is>
          <t>yes</t>
        </is>
      </c>
      <c r="I23" s="5" t="inlineStr">
        <is>
          <t>weld metal</t>
        </is>
      </c>
      <c r="J23" s="5" t="inlineStr">
        <is>
          <t>GTAW</t>
        </is>
      </c>
      <c r="K23" s="5" t="n"/>
      <c r="L23" s="5" t="n"/>
      <c r="M23" s="5" t="inlineStr">
        <is>
          <t>gaseous precharge</t>
        </is>
      </c>
      <c r="N23" s="5" t="n"/>
      <c r="O23" s="5" t="n">
        <v>110</v>
      </c>
      <c r="P23" s="5" t="n"/>
      <c r="Q23" s="5" t="n">
        <v>295</v>
      </c>
      <c r="R23" s="5" t="n">
        <v>21.9</v>
      </c>
      <c r="S23" s="5" t="n"/>
      <c r="T23" s="5" t="inlineStr">
        <is>
          <t>tensile</t>
        </is>
      </c>
      <c r="U23" s="5" t="inlineStr">
        <is>
          <t>reduction of area</t>
        </is>
      </c>
      <c r="V23" s="5" t="inlineStr">
        <is>
          <t>uncharged</t>
        </is>
      </c>
      <c r="W23" s="5" t="n"/>
      <c r="X23" s="5" t="n"/>
      <c r="Y23" s="5" t="n">
        <v>0.47</v>
      </c>
      <c r="Z23" s="5" t="inlineStr">
        <is>
          <t>significant loss</t>
        </is>
      </c>
      <c r="AA23" s="5" t="n"/>
      <c r="AB23" s="5" t="inlineStr">
        <is>
          <t>relative_ratio</t>
        </is>
      </c>
      <c r="AC23" s="5" t="inlineStr">
        <is>
          <t>no</t>
        </is>
      </c>
      <c r="AD23" s="5" t="inlineStr">
        <is>
          <t>Younes et al., Int. J. Hydrogen Energy 38 (2013) 4864. Table 4. 304L tube, thermally charged in hydrogen gas to the stated content; RA loss reported rather than absolute values, so relative_ratio = 1 - loss/100. 304L TIG weld, 110 wppm hydrogen, RA loss 53%.</t>
        </is>
      </c>
      <c r="AE23" s="6">
        <f>IF(AND($U23="reduction of area",$H23="no"),$Y23,"")</f>
        <v/>
      </c>
      <c r="AF23" s="6">
        <f>IF(AND($U23="reduction of area",$H23="yes"),$Y23,"")</f>
        <v/>
      </c>
    </row>
    <row r="24">
      <c r="A24" s="5" t="inlineStr">
        <is>
          <t>YOUNES13-TIG-160</t>
        </is>
      </c>
      <c r="B24" s="5" t="inlineStr">
        <is>
          <t>S6</t>
        </is>
      </c>
      <c r="C24" s="5" t="inlineStr">
        <is>
          <t>Younes 2013</t>
        </is>
      </c>
      <c r="D24" s="5" t="inlineStr">
        <is>
          <t>304L TIG weld</t>
        </is>
      </c>
      <c r="E24" s="5" t="n"/>
      <c r="F24" s="5" t="inlineStr">
        <is>
          <t>300-series (304 type)</t>
        </is>
      </c>
      <c r="G24" s="5" t="inlineStr">
        <is>
          <t>weld</t>
        </is>
      </c>
      <c r="H24" s="5" t="inlineStr">
        <is>
          <t>yes</t>
        </is>
      </c>
      <c r="I24" s="5" t="inlineStr">
        <is>
          <t>weld metal</t>
        </is>
      </c>
      <c r="J24" s="5" t="inlineStr">
        <is>
          <t>GTAW</t>
        </is>
      </c>
      <c r="K24" s="5" t="n"/>
      <c r="L24" s="5" t="n"/>
      <c r="M24" s="5" t="inlineStr">
        <is>
          <t>gaseous precharge</t>
        </is>
      </c>
      <c r="N24" s="5" t="n"/>
      <c r="O24" s="5" t="n">
        <v>160</v>
      </c>
      <c r="P24" s="5" t="n"/>
      <c r="Q24" s="5" t="n">
        <v>295</v>
      </c>
      <c r="R24" s="5" t="n">
        <v>21.9</v>
      </c>
      <c r="S24" s="5" t="n"/>
      <c r="T24" s="5" t="inlineStr">
        <is>
          <t>tensile</t>
        </is>
      </c>
      <c r="U24" s="5" t="inlineStr">
        <is>
          <t>reduction of area</t>
        </is>
      </c>
      <c r="V24" s="5" t="inlineStr">
        <is>
          <t>uncharged</t>
        </is>
      </c>
      <c r="W24" s="5" t="n"/>
      <c r="X24" s="5" t="n"/>
      <c r="Y24" s="5" t="n">
        <v>0.35</v>
      </c>
      <c r="Z24" s="5" t="inlineStr">
        <is>
          <t>significant loss</t>
        </is>
      </c>
      <c r="AA24" s="5" t="n"/>
      <c r="AB24" s="5" t="inlineStr">
        <is>
          <t>relative_ratio</t>
        </is>
      </c>
      <c r="AC24" s="5" t="inlineStr">
        <is>
          <t>no</t>
        </is>
      </c>
      <c r="AD24" s="5" t="inlineStr">
        <is>
          <t>Younes et al., Int. J. Hydrogen Energy 38 (2013) 4864. Table 4. 304L tube, thermally charged in hydrogen gas to the stated content; RA loss reported rather than absolute values, so relative_ratio = 1 - loss/100. 304L TIG weld, 160 wppm hydrogen, RA loss 65%.</t>
        </is>
      </c>
      <c r="AE24" s="6">
        <f>IF(AND($U24="reduction of area",$H24="no"),$Y24,"")</f>
        <v/>
      </c>
      <c r="AF24" s="6">
        <f>IF(AND($U24="reduction of area",$H24="yes"),$Y24,"")</f>
        <v/>
      </c>
    </row>
    <row r="25">
      <c r="A25" s="5" t="inlineStr">
        <is>
          <t>YOUNES13-TIG-57</t>
        </is>
      </c>
      <c r="B25" s="5" t="inlineStr">
        <is>
          <t>S6</t>
        </is>
      </c>
      <c r="C25" s="5" t="inlineStr">
        <is>
          <t>Younes 2013</t>
        </is>
      </c>
      <c r="D25" s="5" t="inlineStr">
        <is>
          <t>304L TIG weld</t>
        </is>
      </c>
      <c r="E25" s="5" t="n"/>
      <c r="F25" s="5" t="inlineStr">
        <is>
          <t>300-series (304 type)</t>
        </is>
      </c>
      <c r="G25" s="5" t="inlineStr">
        <is>
          <t>weld</t>
        </is>
      </c>
      <c r="H25" s="5" t="inlineStr">
        <is>
          <t>yes</t>
        </is>
      </c>
      <c r="I25" s="5" t="inlineStr">
        <is>
          <t>weld metal</t>
        </is>
      </c>
      <c r="J25" s="5" t="inlineStr">
        <is>
          <t>GTAW</t>
        </is>
      </c>
      <c r="K25" s="5" t="n"/>
      <c r="L25" s="5" t="n"/>
      <c r="M25" s="5" t="inlineStr">
        <is>
          <t>gaseous precharge</t>
        </is>
      </c>
      <c r="N25" s="5" t="n"/>
      <c r="O25" s="5" t="n">
        <v>57</v>
      </c>
      <c r="P25" s="5" t="n"/>
      <c r="Q25" s="5" t="n">
        <v>295</v>
      </c>
      <c r="R25" s="5" t="n">
        <v>21.9</v>
      </c>
      <c r="S25" s="5" t="n"/>
      <c r="T25" s="5" t="inlineStr">
        <is>
          <t>tensile</t>
        </is>
      </c>
      <c r="U25" s="5" t="inlineStr">
        <is>
          <t>reduction of area</t>
        </is>
      </c>
      <c r="V25" s="5" t="inlineStr">
        <is>
          <t>uncharged</t>
        </is>
      </c>
      <c r="W25" s="5" t="n"/>
      <c r="X25" s="5" t="n"/>
      <c r="Y25" s="5" t="n">
        <v>0.59</v>
      </c>
      <c r="Z25" s="5" t="inlineStr">
        <is>
          <t>significant loss</t>
        </is>
      </c>
      <c r="AA25" s="5" t="n"/>
      <c r="AB25" s="5" t="inlineStr">
        <is>
          <t>relative_ratio</t>
        </is>
      </c>
      <c r="AC25" s="5" t="inlineStr">
        <is>
          <t>no</t>
        </is>
      </c>
      <c r="AD25" s="5" t="inlineStr">
        <is>
          <t>Younes et al., Int. J. Hydrogen Energy 38 (2013) 4864. Table 4. 304L tube, thermally charged in hydrogen gas to the stated content; RA loss reported rather than absolute values, so relative_ratio = 1 - loss/100. 304L TIG weld, 57 wppm hydrogen, RA loss 41%.</t>
        </is>
      </c>
      <c r="AE25" s="6">
        <f>IF(AND($U25="reduction of area",$H25="no"),$Y25,"")</f>
        <v/>
      </c>
      <c r="AF25" s="6">
        <f>IF(AND($U25="reduction of area",$H25="yes"),$Y25,"")</f>
        <v/>
      </c>
    </row>
    <row r="26">
      <c r="A26" s="5" t="inlineStr">
        <is>
          <t>YOUNES13-BASE-110</t>
        </is>
      </c>
      <c r="B26" s="5" t="inlineStr">
        <is>
          <t>S6</t>
        </is>
      </c>
      <c r="C26" s="5" t="inlineStr">
        <is>
          <t>Younes 2013</t>
        </is>
      </c>
      <c r="D26" s="5" t="inlineStr">
        <is>
          <t>304L base metal</t>
        </is>
      </c>
      <c r="E26" s="5" t="n"/>
      <c r="F26" s="5" t="inlineStr">
        <is>
          <t>300-series (304 type)</t>
        </is>
      </c>
      <c r="G26" s="5" t="inlineStr">
        <is>
          <t>tube</t>
        </is>
      </c>
      <c r="H26" s="5" t="inlineStr">
        <is>
          <t>no</t>
        </is>
      </c>
      <c r="I26" s="5" t="inlineStr">
        <is>
          <t>base metal</t>
        </is>
      </c>
      <c r="J26" s="5" t="n"/>
      <c r="K26" s="5" t="n"/>
      <c r="L26" s="5" t="n"/>
      <c r="M26" s="5" t="inlineStr">
        <is>
          <t>gaseous precharge</t>
        </is>
      </c>
      <c r="N26" s="5" t="n"/>
      <c r="O26" s="5" t="n">
        <v>110</v>
      </c>
      <c r="P26" s="5" t="n"/>
      <c r="Q26" s="5" t="n">
        <v>295</v>
      </c>
      <c r="R26" s="5" t="n">
        <v>21.9</v>
      </c>
      <c r="S26" s="5" t="n"/>
      <c r="T26" s="5" t="inlineStr">
        <is>
          <t>tensile</t>
        </is>
      </c>
      <c r="U26" s="5" t="inlineStr">
        <is>
          <t>reduction of area</t>
        </is>
      </c>
      <c r="V26" s="5" t="inlineStr">
        <is>
          <t>uncharged</t>
        </is>
      </c>
      <c r="W26" s="5" t="n"/>
      <c r="X26" s="5" t="n"/>
      <c r="Y26" s="5" t="n">
        <v>0.63</v>
      </c>
      <c r="Z26" s="5" t="inlineStr">
        <is>
          <t>significant loss</t>
        </is>
      </c>
      <c r="AA26" s="5" t="n"/>
      <c r="AB26" s="5" t="inlineStr">
        <is>
          <t>relative_ratio</t>
        </is>
      </c>
      <c r="AC26" s="5" t="inlineStr">
        <is>
          <t>no</t>
        </is>
      </c>
      <c r="AD26" s="5" t="inlineStr">
        <is>
          <t>Younes et al., Int. J. Hydrogen Energy 38 (2013) 4864. Table 4. 304L tube, thermally charged in hydrogen gas to the stated content; RA loss reported rather than absolute values, so relative_ratio = 1 - loss/100. 304L base metal, 110 wppm hydrogen, RA loss 37%.</t>
        </is>
      </c>
      <c r="AE26" s="6">
        <f>IF(AND($U26="reduction of area",$H26="no"),$Y26,"")</f>
        <v/>
      </c>
      <c r="AF26" s="6">
        <f>IF(AND($U26="reduction of area",$H26="yes"),$Y26,"")</f>
        <v/>
      </c>
    </row>
    <row r="27">
      <c r="A27" s="5" t="inlineStr">
        <is>
          <t>YOUNES13-BASE-160</t>
        </is>
      </c>
      <c r="B27" s="5" t="inlineStr">
        <is>
          <t>S6</t>
        </is>
      </c>
      <c r="C27" s="5" t="inlineStr">
        <is>
          <t>Younes 2013</t>
        </is>
      </c>
      <c r="D27" s="5" t="inlineStr">
        <is>
          <t>304L base metal</t>
        </is>
      </c>
      <c r="E27" s="5" t="n"/>
      <c r="F27" s="5" t="inlineStr">
        <is>
          <t>300-series (304 type)</t>
        </is>
      </c>
      <c r="G27" s="5" t="inlineStr">
        <is>
          <t>tube</t>
        </is>
      </c>
      <c r="H27" s="5" t="inlineStr">
        <is>
          <t>no</t>
        </is>
      </c>
      <c r="I27" s="5" t="inlineStr">
        <is>
          <t>base metal</t>
        </is>
      </c>
      <c r="J27" s="5" t="n"/>
      <c r="K27" s="5" t="n"/>
      <c r="L27" s="5" t="n"/>
      <c r="M27" s="5" t="inlineStr">
        <is>
          <t>gaseous precharge</t>
        </is>
      </c>
      <c r="N27" s="5" t="n"/>
      <c r="O27" s="5" t="n">
        <v>160</v>
      </c>
      <c r="P27" s="5" t="n"/>
      <c r="Q27" s="5" t="n">
        <v>295</v>
      </c>
      <c r="R27" s="5" t="n">
        <v>21.9</v>
      </c>
      <c r="S27" s="5" t="n"/>
      <c r="T27" s="5" t="inlineStr">
        <is>
          <t>tensile</t>
        </is>
      </c>
      <c r="U27" s="5" t="inlineStr">
        <is>
          <t>reduction of area</t>
        </is>
      </c>
      <c r="V27" s="5" t="inlineStr">
        <is>
          <t>uncharged</t>
        </is>
      </c>
      <c r="W27" s="5" t="n"/>
      <c r="X27" s="5" t="n"/>
      <c r="Y27" s="5" t="n">
        <v>0.52</v>
      </c>
      <c r="Z27" s="5" t="inlineStr">
        <is>
          <t>significant loss</t>
        </is>
      </c>
      <c r="AA27" s="5" t="n"/>
      <c r="AB27" s="5" t="inlineStr">
        <is>
          <t>relative_ratio</t>
        </is>
      </c>
      <c r="AC27" s="5" t="inlineStr">
        <is>
          <t>no</t>
        </is>
      </c>
      <c r="AD27" s="5" t="inlineStr">
        <is>
          <t>Younes et al., Int. J. Hydrogen Energy 38 (2013) 4864. Table 4. 304L tube, thermally charged in hydrogen gas to the stated content; RA loss reported rather than absolute values, so relative_ratio = 1 - loss/100. 304L base metal, 160 wppm hydrogen, RA loss 48%.</t>
        </is>
      </c>
      <c r="AE27" s="6">
        <f>IF(AND($U27="reduction of area",$H27="no"),$Y27,"")</f>
        <v/>
      </c>
      <c r="AF27" s="6">
        <f>IF(AND($U27="reduction of area",$H27="yes"),$Y27,"")</f>
        <v/>
      </c>
    </row>
    <row r="28">
      <c r="A28" s="5" t="inlineStr">
        <is>
          <t>YOUNES13-BASE-57</t>
        </is>
      </c>
      <c r="B28" s="5" t="inlineStr">
        <is>
          <t>S6</t>
        </is>
      </c>
      <c r="C28" s="5" t="inlineStr">
        <is>
          <t>Younes 2013</t>
        </is>
      </c>
      <c r="D28" s="5" t="inlineStr">
        <is>
          <t>304L base metal</t>
        </is>
      </c>
      <c r="E28" s="5" t="n"/>
      <c r="F28" s="5" t="inlineStr">
        <is>
          <t>300-series (304 type)</t>
        </is>
      </c>
      <c r="G28" s="5" t="inlineStr">
        <is>
          <t>tube</t>
        </is>
      </c>
      <c r="H28" s="5" t="inlineStr">
        <is>
          <t>no</t>
        </is>
      </c>
      <c r="I28" s="5" t="inlineStr">
        <is>
          <t>base metal</t>
        </is>
      </c>
      <c r="J28" s="5" t="n"/>
      <c r="K28" s="5" t="n"/>
      <c r="L28" s="5" t="n"/>
      <c r="M28" s="5" t="inlineStr">
        <is>
          <t>gaseous precharge</t>
        </is>
      </c>
      <c r="N28" s="5" t="n"/>
      <c r="O28" s="5" t="n">
        <v>57</v>
      </c>
      <c r="P28" s="5" t="n"/>
      <c r="Q28" s="5" t="n">
        <v>295</v>
      </c>
      <c r="R28" s="5" t="n">
        <v>21.9</v>
      </c>
      <c r="S28" s="5" t="n"/>
      <c r="T28" s="5" t="inlineStr">
        <is>
          <t>tensile</t>
        </is>
      </c>
      <c r="U28" s="5" t="inlineStr">
        <is>
          <t>reduction of area</t>
        </is>
      </c>
      <c r="V28" s="5" t="inlineStr">
        <is>
          <t>uncharged</t>
        </is>
      </c>
      <c r="W28" s="5" t="n"/>
      <c r="X28" s="5" t="n"/>
      <c r="Y28" s="5" t="n">
        <v>0.8100000000000001</v>
      </c>
      <c r="Z28" s="5" t="inlineStr">
        <is>
          <t>moderate loss</t>
        </is>
      </c>
      <c r="AA28" s="5" t="n"/>
      <c r="AB28" s="5" t="inlineStr">
        <is>
          <t>relative_ratio</t>
        </is>
      </c>
      <c r="AC28" s="5" t="inlineStr">
        <is>
          <t>no</t>
        </is>
      </c>
      <c r="AD28" s="5" t="inlineStr">
        <is>
          <t>Younes et al., Int. J. Hydrogen Energy 38 (2013) 4864. Table 4. 304L tube, thermally charged in hydrogen gas to the stated content; RA loss reported rather than absolute values, so relative_ratio = 1 - loss/100. 304L base metal, 57 wppm hydrogen, RA loss 19%.</t>
        </is>
      </c>
      <c r="AE28" s="6">
        <f>IF(AND($U28="reduction of area",$H28="no"),$Y28,"")</f>
        <v/>
      </c>
      <c r="AF28" s="6">
        <f>IF(AND($U28="reduction of area",$H28="yes"),$Y28,"")</f>
        <v/>
      </c>
    </row>
    <row r="29">
      <c r="A29" s="5" t="inlineStr">
        <is>
          <t>BALCH15-LONG-CENTER-EL</t>
        </is>
      </c>
      <c r="B29" s="5" t="inlineStr">
        <is>
          <t>S3</t>
        </is>
      </c>
      <c r="C29" s="5" t="inlineStr">
        <is>
          <t>Balch 2015</t>
        </is>
      </c>
      <c r="D29" s="5" t="inlineStr">
        <is>
          <t>304L/308L weld</t>
        </is>
      </c>
      <c r="E29" s="5" t="n"/>
      <c r="F29" s="5" t="inlineStr">
        <is>
          <t>300-series (304 type)</t>
        </is>
      </c>
      <c r="G29" s="5" t="inlineStr">
        <is>
          <t>weld</t>
        </is>
      </c>
      <c r="H29" s="5" t="inlineStr">
        <is>
          <t>yes</t>
        </is>
      </c>
      <c r="I29" s="5" t="inlineStr">
        <is>
          <t>weld metal</t>
        </is>
      </c>
      <c r="J29" s="5" t="inlineStr">
        <is>
          <t>GTAW</t>
        </is>
      </c>
      <c r="K29" s="5" t="inlineStr">
        <is>
          <t>ER308L</t>
        </is>
      </c>
      <c r="L29" s="5" t="n"/>
      <c r="M29" s="5" t="inlineStr">
        <is>
          <t>gaseous precharge</t>
        </is>
      </c>
      <c r="N29" s="5" t="n">
        <v>138</v>
      </c>
      <c r="O29" s="5" t="n">
        <v>139</v>
      </c>
      <c r="P29" s="5" t="n">
        <v>336</v>
      </c>
      <c r="Q29" s="5" t="n">
        <v>295</v>
      </c>
      <c r="R29" s="5" t="n">
        <v>21.9</v>
      </c>
      <c r="S29" s="5" t="n">
        <v>0.00076</v>
      </c>
      <c r="T29" s="5" t="inlineStr">
        <is>
          <t>tensile</t>
        </is>
      </c>
      <c r="U29" s="5" t="inlineStr">
        <is>
          <t>elongation</t>
        </is>
      </c>
      <c r="V29" s="5" t="inlineStr">
        <is>
          <t>uncharged</t>
        </is>
      </c>
      <c r="W29" s="5" t="n">
        <v>44</v>
      </c>
      <c r="X29" s="5" t="n">
        <v>28</v>
      </c>
      <c r="Y29" s="5" t="n">
        <v>0.636</v>
      </c>
      <c r="Z29" s="5" t="inlineStr">
        <is>
          <t>significant loss</t>
        </is>
      </c>
      <c r="AA29" s="5" t="n">
        <v>26.49</v>
      </c>
      <c r="AB29" s="5" t="inlineStr">
        <is>
          <t>ni_equivalent;relative_ratio</t>
        </is>
      </c>
      <c r="AC29" s="5" t="inlineStr">
        <is>
          <t>yes</t>
        </is>
      </c>
      <c r="AD29" s="5" t="inlineStr">
        <is>
          <t>Balch et al. PVP2015-45591 Table 3. Multipass GTA weld, gage section 100% weld deposit; longitudinal orientation, center of weld. Precharged 300 C, 138 MPa H2, 2 weeks -&gt; 7700 appm (about 139 wt ppm). Composition is the 308L filler wire; 304L base metal 19.25Cr-10.25Ni.</t>
        </is>
      </c>
      <c r="AE29" s="6">
        <f>IF(AND($U29="reduction of area",$H29="no"),$Y29,"")</f>
        <v/>
      </c>
      <c r="AF29" s="6">
        <f>IF(AND($U29="reduction of area",$H29="yes"),$Y29,"")</f>
        <v/>
      </c>
    </row>
    <row r="30">
      <c r="A30" s="5" t="inlineStr">
        <is>
          <t>BALCH15-LONG-CENTER-RA</t>
        </is>
      </c>
      <c r="B30" s="5" t="inlineStr">
        <is>
          <t>S3</t>
        </is>
      </c>
      <c r="C30" s="5" t="inlineStr">
        <is>
          <t>Balch 2015</t>
        </is>
      </c>
      <c r="D30" s="5" t="inlineStr">
        <is>
          <t>304L/308L weld</t>
        </is>
      </c>
      <c r="E30" s="5" t="n"/>
      <c r="F30" s="5" t="inlineStr">
        <is>
          <t>300-series (304 type)</t>
        </is>
      </c>
      <c r="G30" s="5" t="inlineStr">
        <is>
          <t>weld</t>
        </is>
      </c>
      <c r="H30" s="5" t="inlineStr">
        <is>
          <t>yes</t>
        </is>
      </c>
      <c r="I30" s="5" t="inlineStr">
        <is>
          <t>weld metal</t>
        </is>
      </c>
      <c r="J30" s="5" t="inlineStr">
        <is>
          <t>GTAW</t>
        </is>
      </c>
      <c r="K30" s="5" t="inlineStr">
        <is>
          <t>ER308L</t>
        </is>
      </c>
      <c r="L30" s="5" t="n"/>
      <c r="M30" s="5" t="inlineStr">
        <is>
          <t>gaseous precharge</t>
        </is>
      </c>
      <c r="N30" s="5" t="n">
        <v>138</v>
      </c>
      <c r="O30" s="5" t="n">
        <v>139</v>
      </c>
      <c r="P30" s="5" t="n">
        <v>336</v>
      </c>
      <c r="Q30" s="5" t="n">
        <v>295</v>
      </c>
      <c r="R30" s="5" t="n">
        <v>21.9</v>
      </c>
      <c r="S30" s="5" t="n">
        <v>0.00076</v>
      </c>
      <c r="T30" s="5" t="inlineStr">
        <is>
          <t>tensile</t>
        </is>
      </c>
      <c r="U30" s="5" t="inlineStr">
        <is>
          <t>reduction of area</t>
        </is>
      </c>
      <c r="V30" s="5" t="inlineStr">
        <is>
          <t>uncharged</t>
        </is>
      </c>
      <c r="W30" s="5" t="n">
        <v>78</v>
      </c>
      <c r="X30" s="5" t="n">
        <v>34</v>
      </c>
      <c r="Y30" s="5" t="n">
        <v>0.436</v>
      </c>
      <c r="Z30" s="5" t="inlineStr">
        <is>
          <t>significant loss</t>
        </is>
      </c>
      <c r="AA30" s="5" t="n">
        <v>26.49</v>
      </c>
      <c r="AB30" s="5" t="inlineStr">
        <is>
          <t>ni_equivalent;relative_ratio</t>
        </is>
      </c>
      <c r="AC30" s="5" t="inlineStr">
        <is>
          <t>yes</t>
        </is>
      </c>
      <c r="AD30" s="5" t="inlineStr">
        <is>
          <t>Balch et al. PVP2015-45591 Table 3. Multipass GTA weld, gage section 100% weld deposit; longitudinal orientation, center of weld. Precharged 300 C, 138 MPa H2, 2 weeks -&gt; 7700 appm (about 139 wt ppm). Composition is the 308L filler wire; 304L base metal 19.25Cr-10.25Ni.</t>
        </is>
      </c>
      <c r="AE30" s="6">
        <f>IF(AND($U30="reduction of area",$H30="no"),$Y30,"")</f>
        <v/>
      </c>
      <c r="AF30" s="6">
        <f>IF(AND($U30="reduction of area",$H30="yes"),$Y30,"")</f>
        <v/>
      </c>
    </row>
    <row r="31">
      <c r="A31" s="5" t="inlineStr">
        <is>
          <t>BALCH15-LONG-ROOT-EL</t>
        </is>
      </c>
      <c r="B31" s="5" t="inlineStr">
        <is>
          <t>S3</t>
        </is>
      </c>
      <c r="C31" s="5" t="inlineStr">
        <is>
          <t>Balch 2015</t>
        </is>
      </c>
      <c r="D31" s="5" t="inlineStr">
        <is>
          <t>304L/308L weld</t>
        </is>
      </c>
      <c r="E31" s="5" t="n"/>
      <c r="F31" s="5" t="inlineStr">
        <is>
          <t>300-series (304 type)</t>
        </is>
      </c>
      <c r="G31" s="5" t="inlineStr">
        <is>
          <t>weld</t>
        </is>
      </c>
      <c r="H31" s="5" t="inlineStr">
        <is>
          <t>yes</t>
        </is>
      </c>
      <c r="I31" s="5" t="inlineStr">
        <is>
          <t>weld metal</t>
        </is>
      </c>
      <c r="J31" s="5" t="inlineStr">
        <is>
          <t>GTAW</t>
        </is>
      </c>
      <c r="K31" s="5" t="inlineStr">
        <is>
          <t>ER308L</t>
        </is>
      </c>
      <c r="L31" s="5" t="n"/>
      <c r="M31" s="5" t="inlineStr">
        <is>
          <t>gaseous precharge</t>
        </is>
      </c>
      <c r="N31" s="5" t="n">
        <v>138</v>
      </c>
      <c r="O31" s="5" t="n">
        <v>139</v>
      </c>
      <c r="P31" s="5" t="n">
        <v>336</v>
      </c>
      <c r="Q31" s="5" t="n">
        <v>295</v>
      </c>
      <c r="R31" s="5" t="n">
        <v>21.9</v>
      </c>
      <c r="S31" s="5" t="n">
        <v>0.00076</v>
      </c>
      <c r="T31" s="5" t="inlineStr">
        <is>
          <t>tensile</t>
        </is>
      </c>
      <c r="U31" s="5" t="inlineStr">
        <is>
          <t>elongation</t>
        </is>
      </c>
      <c r="V31" s="5" t="inlineStr">
        <is>
          <t>uncharged</t>
        </is>
      </c>
      <c r="W31" s="5" t="n">
        <v>38</v>
      </c>
      <c r="X31" s="5" t="n">
        <v>21</v>
      </c>
      <c r="Y31" s="5" t="n">
        <v>0.553</v>
      </c>
      <c r="Z31" s="5" t="inlineStr">
        <is>
          <t>significant loss</t>
        </is>
      </c>
      <c r="AA31" s="5" t="n">
        <v>26.49</v>
      </c>
      <c r="AB31" s="5" t="inlineStr">
        <is>
          <t>ni_equivalent;relative_ratio</t>
        </is>
      </c>
      <c r="AC31" s="5" t="inlineStr">
        <is>
          <t>yes</t>
        </is>
      </c>
      <c r="AD31" s="5" t="inlineStr">
        <is>
          <t>Balch et al. PVP2015-45591 Table 3. Multipass GTA weld, gage section 100% weld deposit; longitudinal orientation, root of weld. Precharged 300 C, 138 MPa H2, 2 weeks -&gt; 7700 appm (about 139 wt ppm). Composition is the 308L filler wire; 304L base metal 19.25Cr-10.25Ni.</t>
        </is>
      </c>
      <c r="AE31" s="6">
        <f>IF(AND($U31="reduction of area",$H31="no"),$Y31,"")</f>
        <v/>
      </c>
      <c r="AF31" s="6">
        <f>IF(AND($U31="reduction of area",$H31="yes"),$Y31,"")</f>
        <v/>
      </c>
    </row>
    <row r="32">
      <c r="A32" s="5" t="inlineStr">
        <is>
          <t>BALCH15-LONG-ROOT-RA</t>
        </is>
      </c>
      <c r="B32" s="5" t="inlineStr">
        <is>
          <t>S3</t>
        </is>
      </c>
      <c r="C32" s="5" t="inlineStr">
        <is>
          <t>Balch 2015</t>
        </is>
      </c>
      <c r="D32" s="5" t="inlineStr">
        <is>
          <t>304L/308L weld</t>
        </is>
      </c>
      <c r="E32" s="5" t="n"/>
      <c r="F32" s="5" t="inlineStr">
        <is>
          <t>300-series (304 type)</t>
        </is>
      </c>
      <c r="G32" s="5" t="inlineStr">
        <is>
          <t>weld</t>
        </is>
      </c>
      <c r="H32" s="5" t="inlineStr">
        <is>
          <t>yes</t>
        </is>
      </c>
      <c r="I32" s="5" t="inlineStr">
        <is>
          <t>weld metal</t>
        </is>
      </c>
      <c r="J32" s="5" t="inlineStr">
        <is>
          <t>GTAW</t>
        </is>
      </c>
      <c r="K32" s="5" t="inlineStr">
        <is>
          <t>ER308L</t>
        </is>
      </c>
      <c r="L32" s="5" t="n"/>
      <c r="M32" s="5" t="inlineStr">
        <is>
          <t>gaseous precharge</t>
        </is>
      </c>
      <c r="N32" s="5" t="n">
        <v>138</v>
      </c>
      <c r="O32" s="5" t="n">
        <v>139</v>
      </c>
      <c r="P32" s="5" t="n">
        <v>336</v>
      </c>
      <c r="Q32" s="5" t="n">
        <v>295</v>
      </c>
      <c r="R32" s="5" t="n">
        <v>21.9</v>
      </c>
      <c r="S32" s="5" t="n">
        <v>0.00076</v>
      </c>
      <c r="T32" s="5" t="inlineStr">
        <is>
          <t>tensile</t>
        </is>
      </c>
      <c r="U32" s="5" t="inlineStr">
        <is>
          <t>reduction of area</t>
        </is>
      </c>
      <c r="V32" s="5" t="inlineStr">
        <is>
          <t>uncharged</t>
        </is>
      </c>
      <c r="W32" s="5" t="n">
        <v>78</v>
      </c>
      <c r="X32" s="5" t="n">
        <v>28</v>
      </c>
      <c r="Y32" s="5" t="n">
        <v>0.359</v>
      </c>
      <c r="Z32" s="5" t="inlineStr">
        <is>
          <t>significant loss</t>
        </is>
      </c>
      <c r="AA32" s="5" t="n">
        <v>26.49</v>
      </c>
      <c r="AB32" s="5" t="inlineStr">
        <is>
          <t>ni_equivalent;relative_ratio</t>
        </is>
      </c>
      <c r="AC32" s="5" t="inlineStr">
        <is>
          <t>yes</t>
        </is>
      </c>
      <c r="AD32" s="5" t="inlineStr">
        <is>
          <t>Balch et al. PVP2015-45591 Table 3. Multipass GTA weld, gage section 100% weld deposit; longitudinal orientation, root of weld. Precharged 300 C, 138 MPa H2, 2 weeks -&gt; 7700 appm (about 139 wt ppm). Composition is the 308L filler wire; 304L base metal 19.25Cr-10.25Ni.</t>
        </is>
      </c>
      <c r="AE32" s="6">
        <f>IF(AND($U32="reduction of area",$H32="no"),$Y32,"")</f>
        <v/>
      </c>
      <c r="AF32" s="6">
        <f>IF(AND($U32="reduction of area",$H32="yes"),$Y32,"")</f>
        <v/>
      </c>
    </row>
    <row r="33">
      <c r="A33" s="5" t="inlineStr">
        <is>
          <t>BALCH15-LONG-TOP-EL</t>
        </is>
      </c>
      <c r="B33" s="5" t="inlineStr">
        <is>
          <t>S3</t>
        </is>
      </c>
      <c r="C33" s="5" t="inlineStr">
        <is>
          <t>Balch 2015</t>
        </is>
      </c>
      <c r="D33" s="5" t="inlineStr">
        <is>
          <t>304L/308L weld</t>
        </is>
      </c>
      <c r="E33" s="5" t="n"/>
      <c r="F33" s="5" t="inlineStr">
        <is>
          <t>300-series (304 type)</t>
        </is>
      </c>
      <c r="G33" s="5" t="inlineStr">
        <is>
          <t>weld</t>
        </is>
      </c>
      <c r="H33" s="5" t="inlineStr">
        <is>
          <t>yes</t>
        </is>
      </c>
      <c r="I33" s="5" t="inlineStr">
        <is>
          <t>weld metal</t>
        </is>
      </c>
      <c r="J33" s="5" t="inlineStr">
        <is>
          <t>GTAW</t>
        </is>
      </c>
      <c r="K33" s="5" t="inlineStr">
        <is>
          <t>ER308L</t>
        </is>
      </c>
      <c r="L33" s="5" t="n"/>
      <c r="M33" s="5" t="inlineStr">
        <is>
          <t>gaseous precharge</t>
        </is>
      </c>
      <c r="N33" s="5" t="n">
        <v>138</v>
      </c>
      <c r="O33" s="5" t="n">
        <v>139</v>
      </c>
      <c r="P33" s="5" t="n">
        <v>336</v>
      </c>
      <c r="Q33" s="5" t="n">
        <v>295</v>
      </c>
      <c r="R33" s="5" t="n">
        <v>21.9</v>
      </c>
      <c r="S33" s="5" t="n">
        <v>0.00076</v>
      </c>
      <c r="T33" s="5" t="inlineStr">
        <is>
          <t>tensile</t>
        </is>
      </c>
      <c r="U33" s="5" t="inlineStr">
        <is>
          <t>elongation</t>
        </is>
      </c>
      <c r="V33" s="5" t="inlineStr">
        <is>
          <t>uncharged</t>
        </is>
      </c>
      <c r="W33" s="5" t="n">
        <v>56</v>
      </c>
      <c r="X33" s="5" t="n">
        <v>28</v>
      </c>
      <c r="Y33" s="5" t="n">
        <v>0.5</v>
      </c>
      <c r="Z33" s="5" t="inlineStr">
        <is>
          <t>significant loss</t>
        </is>
      </c>
      <c r="AA33" s="5" t="n">
        <v>26.49</v>
      </c>
      <c r="AB33" s="5" t="inlineStr">
        <is>
          <t>ni_equivalent;relative_ratio</t>
        </is>
      </c>
      <c r="AC33" s="5" t="inlineStr">
        <is>
          <t>yes</t>
        </is>
      </c>
      <c r="AD33" s="5" t="inlineStr">
        <is>
          <t>Balch et al. PVP2015-45591 Table 3. Multipass GTA weld, gage section 100% weld deposit; longitudinal orientation, top of weld. Precharged 300 C, 138 MPa H2, 2 weeks -&gt; 7700 appm (about 139 wt ppm). Composition is the 308L filler wire; 304L base metal 19.25Cr-10.25Ni.</t>
        </is>
      </c>
      <c r="AE33" s="6">
        <f>IF(AND($U33="reduction of area",$H33="no"),$Y33,"")</f>
        <v/>
      </c>
      <c r="AF33" s="6">
        <f>IF(AND($U33="reduction of area",$H33="yes"),$Y33,"")</f>
        <v/>
      </c>
    </row>
    <row r="34">
      <c r="A34" s="5" t="inlineStr">
        <is>
          <t>BALCH15-LONG-TOP-RA</t>
        </is>
      </c>
      <c r="B34" s="5" t="inlineStr">
        <is>
          <t>S3</t>
        </is>
      </c>
      <c r="C34" s="5" t="inlineStr">
        <is>
          <t>Balch 2015</t>
        </is>
      </c>
      <c r="D34" s="5" t="inlineStr">
        <is>
          <t>304L/308L weld</t>
        </is>
      </c>
      <c r="E34" s="5" t="n"/>
      <c r="F34" s="5" t="inlineStr">
        <is>
          <t>300-series (304 type)</t>
        </is>
      </c>
      <c r="G34" s="5" t="inlineStr">
        <is>
          <t>weld</t>
        </is>
      </c>
      <c r="H34" s="5" t="inlineStr">
        <is>
          <t>yes</t>
        </is>
      </c>
      <c r="I34" s="5" t="inlineStr">
        <is>
          <t>weld metal</t>
        </is>
      </c>
      <c r="J34" s="5" t="inlineStr">
        <is>
          <t>GTAW</t>
        </is>
      </c>
      <c r="K34" s="5" t="inlineStr">
        <is>
          <t>ER308L</t>
        </is>
      </c>
      <c r="L34" s="5" t="n"/>
      <c r="M34" s="5" t="inlineStr">
        <is>
          <t>gaseous precharge</t>
        </is>
      </c>
      <c r="N34" s="5" t="n">
        <v>138</v>
      </c>
      <c r="O34" s="5" t="n">
        <v>139</v>
      </c>
      <c r="P34" s="5" t="n">
        <v>336</v>
      </c>
      <c r="Q34" s="5" t="n">
        <v>295</v>
      </c>
      <c r="R34" s="5" t="n">
        <v>21.9</v>
      </c>
      <c r="S34" s="5" t="n">
        <v>0.00076</v>
      </c>
      <c r="T34" s="5" t="inlineStr">
        <is>
          <t>tensile</t>
        </is>
      </c>
      <c r="U34" s="5" t="inlineStr">
        <is>
          <t>reduction of area</t>
        </is>
      </c>
      <c r="V34" s="5" t="inlineStr">
        <is>
          <t>uncharged</t>
        </is>
      </c>
      <c r="W34" s="5" t="n">
        <v>77</v>
      </c>
      <c r="X34" s="5" t="n">
        <v>40</v>
      </c>
      <c r="Y34" s="5" t="n">
        <v>0.519</v>
      </c>
      <c r="Z34" s="5" t="inlineStr">
        <is>
          <t>significant loss</t>
        </is>
      </c>
      <c r="AA34" s="5" t="n">
        <v>26.49</v>
      </c>
      <c r="AB34" s="5" t="inlineStr">
        <is>
          <t>ni_equivalent;relative_ratio</t>
        </is>
      </c>
      <c r="AC34" s="5" t="inlineStr">
        <is>
          <t>yes</t>
        </is>
      </c>
      <c r="AD34" s="5" t="inlineStr">
        <is>
          <t>Balch et al. PVP2015-45591 Table 3. Multipass GTA weld, gage section 100% weld deposit; longitudinal orientation, top of weld. Precharged 300 C, 138 MPa H2, 2 weeks -&gt; 7700 appm (about 139 wt ppm). Composition is the 308L filler wire; 304L base metal 19.25Cr-10.25Ni.</t>
        </is>
      </c>
      <c r="AE34" s="6">
        <f>IF(AND($U34="reduction of area",$H34="no"),$Y34,"")</f>
        <v/>
      </c>
      <c r="AF34" s="6">
        <f>IF(AND($U34="reduction of area",$H34="yes"),$Y34,"")</f>
        <v/>
      </c>
    </row>
    <row r="35">
      <c r="A35" s="5" t="inlineStr">
        <is>
          <t>BALCH15-TRAN-CENTER-EL</t>
        </is>
      </c>
      <c r="B35" s="5" t="inlineStr">
        <is>
          <t>S3</t>
        </is>
      </c>
      <c r="C35" s="5" t="inlineStr">
        <is>
          <t>Balch 2015</t>
        </is>
      </c>
      <c r="D35" s="5" t="inlineStr">
        <is>
          <t>304L/308L weld</t>
        </is>
      </c>
      <c r="E35" s="5" t="n"/>
      <c r="F35" s="5" t="inlineStr">
        <is>
          <t>300-series (304 type)</t>
        </is>
      </c>
      <c r="G35" s="5" t="inlineStr">
        <is>
          <t>weld</t>
        </is>
      </c>
      <c r="H35" s="5" t="inlineStr">
        <is>
          <t>yes</t>
        </is>
      </c>
      <c r="I35" s="5" t="inlineStr">
        <is>
          <t>weld metal</t>
        </is>
      </c>
      <c r="J35" s="5" t="inlineStr">
        <is>
          <t>GTAW</t>
        </is>
      </c>
      <c r="K35" s="5" t="inlineStr">
        <is>
          <t>ER308L</t>
        </is>
      </c>
      <c r="L35" s="5" t="n"/>
      <c r="M35" s="5" t="inlineStr">
        <is>
          <t>gaseous precharge</t>
        </is>
      </c>
      <c r="N35" s="5" t="n">
        <v>138</v>
      </c>
      <c r="O35" s="5" t="n">
        <v>139</v>
      </c>
      <c r="P35" s="5" t="n">
        <v>336</v>
      </c>
      <c r="Q35" s="5" t="n">
        <v>295</v>
      </c>
      <c r="R35" s="5" t="n">
        <v>21.9</v>
      </c>
      <c r="S35" s="5" t="n">
        <v>0.00076</v>
      </c>
      <c r="T35" s="5" t="inlineStr">
        <is>
          <t>tensile</t>
        </is>
      </c>
      <c r="U35" s="5" t="inlineStr">
        <is>
          <t>elongation</t>
        </is>
      </c>
      <c r="V35" s="5" t="inlineStr">
        <is>
          <t>uncharged</t>
        </is>
      </c>
      <c r="W35" s="5" t="n">
        <v>43</v>
      </c>
      <c r="X35" s="5" t="n">
        <v>24</v>
      </c>
      <c r="Y35" s="5" t="n">
        <v>0.5580000000000001</v>
      </c>
      <c r="Z35" s="5" t="inlineStr">
        <is>
          <t>significant loss</t>
        </is>
      </c>
      <c r="AA35" s="5" t="n">
        <v>26.49</v>
      </c>
      <c r="AB35" s="5" t="inlineStr">
        <is>
          <t>ni_equivalent;relative_ratio</t>
        </is>
      </c>
      <c r="AC35" s="5" t="inlineStr">
        <is>
          <t>yes</t>
        </is>
      </c>
      <c r="AD35" s="5" t="inlineStr">
        <is>
          <t>Balch et al. PVP2015-45591 Table 3. Multipass GTA weld, gage section 100% weld deposit; transverse orientation, center of weld. Precharged 300 C, 138 MPa H2, 2 weeks -&gt; 7700 appm (about 139 wt ppm). Composition is the 308L filler wire; 304L base metal 19.25Cr-10.25Ni.</t>
        </is>
      </c>
      <c r="AE35" s="6">
        <f>IF(AND($U35="reduction of area",$H35="no"),$Y35,"")</f>
        <v/>
      </c>
      <c r="AF35" s="6">
        <f>IF(AND($U35="reduction of area",$H35="yes"),$Y35,"")</f>
        <v/>
      </c>
    </row>
    <row r="36">
      <c r="A36" s="5" t="inlineStr">
        <is>
          <t>BALCH15-TRAN-CENTER-RA</t>
        </is>
      </c>
      <c r="B36" s="5" t="inlineStr">
        <is>
          <t>S3</t>
        </is>
      </c>
      <c r="C36" s="5" t="inlineStr">
        <is>
          <t>Balch 2015</t>
        </is>
      </c>
      <c r="D36" s="5" t="inlineStr">
        <is>
          <t>304L/308L weld</t>
        </is>
      </c>
      <c r="E36" s="5" t="n"/>
      <c r="F36" s="5" t="inlineStr">
        <is>
          <t>300-series (304 type)</t>
        </is>
      </c>
      <c r="G36" s="5" t="inlineStr">
        <is>
          <t>weld</t>
        </is>
      </c>
      <c r="H36" s="5" t="inlineStr">
        <is>
          <t>yes</t>
        </is>
      </c>
      <c r="I36" s="5" t="inlineStr">
        <is>
          <t>weld metal</t>
        </is>
      </c>
      <c r="J36" s="5" t="inlineStr">
        <is>
          <t>GTAW</t>
        </is>
      </c>
      <c r="K36" s="5" t="inlineStr">
        <is>
          <t>ER308L</t>
        </is>
      </c>
      <c r="L36" s="5" t="n"/>
      <c r="M36" s="5" t="inlineStr">
        <is>
          <t>gaseous precharge</t>
        </is>
      </c>
      <c r="N36" s="5" t="n">
        <v>138</v>
      </c>
      <c r="O36" s="5" t="n">
        <v>139</v>
      </c>
      <c r="P36" s="5" t="n">
        <v>336</v>
      </c>
      <c r="Q36" s="5" t="n">
        <v>295</v>
      </c>
      <c r="R36" s="5" t="n">
        <v>21.9</v>
      </c>
      <c r="S36" s="5" t="n">
        <v>0.00076</v>
      </c>
      <c r="T36" s="5" t="inlineStr">
        <is>
          <t>tensile</t>
        </is>
      </c>
      <c r="U36" s="5" t="inlineStr">
        <is>
          <t>reduction of area</t>
        </is>
      </c>
      <c r="V36" s="5" t="inlineStr">
        <is>
          <t>uncharged</t>
        </is>
      </c>
      <c r="W36" s="5" t="n">
        <v>80</v>
      </c>
      <c r="X36" s="5" t="n">
        <v>34</v>
      </c>
      <c r="Y36" s="5" t="n">
        <v>0.425</v>
      </c>
      <c r="Z36" s="5" t="inlineStr">
        <is>
          <t>significant loss</t>
        </is>
      </c>
      <c r="AA36" s="5" t="n">
        <v>26.49</v>
      </c>
      <c r="AB36" s="5" t="inlineStr">
        <is>
          <t>ni_equivalent;relative_ratio</t>
        </is>
      </c>
      <c r="AC36" s="5" t="inlineStr">
        <is>
          <t>yes</t>
        </is>
      </c>
      <c r="AD36" s="5" t="inlineStr">
        <is>
          <t>Balch et al. PVP2015-45591 Table 3. Multipass GTA weld, gage section 100% weld deposit; transverse orientation, center of weld. Precharged 300 C, 138 MPa H2, 2 weeks -&gt; 7700 appm (about 139 wt ppm). Composition is the 308L filler wire; 304L base metal 19.25Cr-10.25Ni.</t>
        </is>
      </c>
      <c r="AE36" s="6">
        <f>IF(AND($U36="reduction of area",$H36="no"),$Y36,"")</f>
        <v/>
      </c>
      <c r="AF36" s="6">
        <f>IF(AND($U36="reduction of area",$H36="yes"),$Y36,"")</f>
        <v/>
      </c>
    </row>
    <row r="37">
      <c r="A37" s="5" t="inlineStr">
        <is>
          <t>BALCH15-TRAN-ROOT-EL</t>
        </is>
      </c>
      <c r="B37" s="5" t="inlineStr">
        <is>
          <t>S3</t>
        </is>
      </c>
      <c r="C37" s="5" t="inlineStr">
        <is>
          <t>Balch 2015</t>
        </is>
      </c>
      <c r="D37" s="5" t="inlineStr">
        <is>
          <t>304L/308L weld</t>
        </is>
      </c>
      <c r="E37" s="5" t="n"/>
      <c r="F37" s="5" t="inlineStr">
        <is>
          <t>300-series (304 type)</t>
        </is>
      </c>
      <c r="G37" s="5" t="inlineStr">
        <is>
          <t>weld</t>
        </is>
      </c>
      <c r="H37" s="5" t="inlineStr">
        <is>
          <t>yes</t>
        </is>
      </c>
      <c r="I37" s="5" t="inlineStr">
        <is>
          <t>weld metal</t>
        </is>
      </c>
      <c r="J37" s="5" t="inlineStr">
        <is>
          <t>GTAW</t>
        </is>
      </c>
      <c r="K37" s="5" t="inlineStr">
        <is>
          <t>ER308L</t>
        </is>
      </c>
      <c r="L37" s="5" t="n"/>
      <c r="M37" s="5" t="inlineStr">
        <is>
          <t>gaseous precharge</t>
        </is>
      </c>
      <c r="N37" s="5" t="n">
        <v>138</v>
      </c>
      <c r="O37" s="5" t="n">
        <v>139</v>
      </c>
      <c r="P37" s="5" t="n">
        <v>336</v>
      </c>
      <c r="Q37" s="5" t="n">
        <v>295</v>
      </c>
      <c r="R37" s="5" t="n">
        <v>21.9</v>
      </c>
      <c r="S37" s="5" t="n">
        <v>0.00076</v>
      </c>
      <c r="T37" s="5" t="inlineStr">
        <is>
          <t>tensile</t>
        </is>
      </c>
      <c r="U37" s="5" t="inlineStr">
        <is>
          <t>elongation</t>
        </is>
      </c>
      <c r="V37" s="5" t="inlineStr">
        <is>
          <t>uncharged</t>
        </is>
      </c>
      <c r="W37" s="5" t="n">
        <v>38</v>
      </c>
      <c r="X37" s="5" t="n">
        <v>24</v>
      </c>
      <c r="Y37" s="5" t="n">
        <v>0.632</v>
      </c>
      <c r="Z37" s="5" t="inlineStr">
        <is>
          <t>significant loss</t>
        </is>
      </c>
      <c r="AA37" s="5" t="n">
        <v>26.49</v>
      </c>
      <c r="AB37" s="5" t="inlineStr">
        <is>
          <t>ni_equivalent;relative_ratio</t>
        </is>
      </c>
      <c r="AC37" s="5" t="inlineStr">
        <is>
          <t>yes</t>
        </is>
      </c>
      <c r="AD37" s="5" t="inlineStr">
        <is>
          <t>Balch et al. PVP2015-45591 Table 3. Multipass GTA weld, gage section 100% weld deposit; transverse orientation, root of weld. Precharged 300 C, 138 MPa H2, 2 weeks -&gt; 7700 appm (about 139 wt ppm). Composition is the 308L filler wire; 304L base metal 19.25Cr-10.25Ni.</t>
        </is>
      </c>
      <c r="AE37" s="6">
        <f>IF(AND($U37="reduction of area",$H37="no"),$Y37,"")</f>
        <v/>
      </c>
      <c r="AF37" s="6">
        <f>IF(AND($U37="reduction of area",$H37="yes"),$Y37,"")</f>
        <v/>
      </c>
    </row>
    <row r="38">
      <c r="A38" s="5" t="inlineStr">
        <is>
          <t>BALCH15-TRAN-ROOT-RA</t>
        </is>
      </c>
      <c r="B38" s="5" t="inlineStr">
        <is>
          <t>S3</t>
        </is>
      </c>
      <c r="C38" s="5" t="inlineStr">
        <is>
          <t>Balch 2015</t>
        </is>
      </c>
      <c r="D38" s="5" t="inlineStr">
        <is>
          <t>304L/308L weld</t>
        </is>
      </c>
      <c r="E38" s="5" t="n"/>
      <c r="F38" s="5" t="inlineStr">
        <is>
          <t>300-series (304 type)</t>
        </is>
      </c>
      <c r="G38" s="5" t="inlineStr">
        <is>
          <t>weld</t>
        </is>
      </c>
      <c r="H38" s="5" t="inlineStr">
        <is>
          <t>yes</t>
        </is>
      </c>
      <c r="I38" s="5" t="inlineStr">
        <is>
          <t>weld metal</t>
        </is>
      </c>
      <c r="J38" s="5" t="inlineStr">
        <is>
          <t>GTAW</t>
        </is>
      </c>
      <c r="K38" s="5" t="inlineStr">
        <is>
          <t>ER308L</t>
        </is>
      </c>
      <c r="L38" s="5" t="n"/>
      <c r="M38" s="5" t="inlineStr">
        <is>
          <t>gaseous precharge</t>
        </is>
      </c>
      <c r="N38" s="5" t="n">
        <v>138</v>
      </c>
      <c r="O38" s="5" t="n">
        <v>139</v>
      </c>
      <c r="P38" s="5" t="n">
        <v>336</v>
      </c>
      <c r="Q38" s="5" t="n">
        <v>295</v>
      </c>
      <c r="R38" s="5" t="n">
        <v>21.9</v>
      </c>
      <c r="S38" s="5" t="n">
        <v>0.00076</v>
      </c>
      <c r="T38" s="5" t="inlineStr">
        <is>
          <t>tensile</t>
        </is>
      </c>
      <c r="U38" s="5" t="inlineStr">
        <is>
          <t>reduction of area</t>
        </is>
      </c>
      <c r="V38" s="5" t="inlineStr">
        <is>
          <t>uncharged</t>
        </is>
      </c>
      <c r="W38" s="5" t="n">
        <v>83</v>
      </c>
      <c r="X38" s="5" t="n">
        <v>41</v>
      </c>
      <c r="Y38" s="5" t="n">
        <v>0.494</v>
      </c>
      <c r="Z38" s="5" t="inlineStr">
        <is>
          <t>significant loss</t>
        </is>
      </c>
      <c r="AA38" s="5" t="n">
        <v>26.49</v>
      </c>
      <c r="AB38" s="5" t="inlineStr">
        <is>
          <t>ni_equivalent;relative_ratio</t>
        </is>
      </c>
      <c r="AC38" s="5" t="inlineStr">
        <is>
          <t>yes</t>
        </is>
      </c>
      <c r="AD38" s="5" t="inlineStr">
        <is>
          <t>Balch et al. PVP2015-45591 Table 3. Multipass GTA weld, gage section 100% weld deposit; transverse orientation, root of weld. Precharged 300 C, 138 MPa H2, 2 weeks -&gt; 7700 appm (about 139 wt ppm). Composition is the 308L filler wire; 304L base metal 19.25Cr-10.25Ni.</t>
        </is>
      </c>
      <c r="AE38" s="6">
        <f>IF(AND($U38="reduction of area",$H38="no"),$Y38,"")</f>
        <v/>
      </c>
      <c r="AF38" s="6">
        <f>IF(AND($U38="reduction of area",$H38="yes"),$Y38,"")</f>
        <v/>
      </c>
    </row>
    <row r="39">
      <c r="A39" s="5" t="inlineStr">
        <is>
          <t>BALCH15-TRAN-TOP-EL</t>
        </is>
      </c>
      <c r="B39" s="5" t="inlineStr">
        <is>
          <t>S3</t>
        </is>
      </c>
      <c r="C39" s="5" t="inlineStr">
        <is>
          <t>Balch 2015</t>
        </is>
      </c>
      <c r="D39" s="5" t="inlineStr">
        <is>
          <t>304L/308L weld</t>
        </is>
      </c>
      <c r="E39" s="5" t="n"/>
      <c r="F39" s="5" t="inlineStr">
        <is>
          <t>300-series (304 type)</t>
        </is>
      </c>
      <c r="G39" s="5" t="inlineStr">
        <is>
          <t>weld</t>
        </is>
      </c>
      <c r="H39" s="5" t="inlineStr">
        <is>
          <t>yes</t>
        </is>
      </c>
      <c r="I39" s="5" t="inlineStr">
        <is>
          <t>weld metal</t>
        </is>
      </c>
      <c r="J39" s="5" t="inlineStr">
        <is>
          <t>GTAW</t>
        </is>
      </c>
      <c r="K39" s="5" t="inlineStr">
        <is>
          <t>ER308L</t>
        </is>
      </c>
      <c r="L39" s="5" t="n"/>
      <c r="M39" s="5" t="inlineStr">
        <is>
          <t>gaseous precharge</t>
        </is>
      </c>
      <c r="N39" s="5" t="n">
        <v>138</v>
      </c>
      <c r="O39" s="5" t="n">
        <v>139</v>
      </c>
      <c r="P39" s="5" t="n">
        <v>336</v>
      </c>
      <c r="Q39" s="5" t="n">
        <v>295</v>
      </c>
      <c r="R39" s="5" t="n">
        <v>21.9</v>
      </c>
      <c r="S39" s="5" t="n">
        <v>0.00076</v>
      </c>
      <c r="T39" s="5" t="inlineStr">
        <is>
          <t>tensile</t>
        </is>
      </c>
      <c r="U39" s="5" t="inlineStr">
        <is>
          <t>elongation</t>
        </is>
      </c>
      <c r="V39" s="5" t="inlineStr">
        <is>
          <t>uncharged</t>
        </is>
      </c>
      <c r="W39" s="5" t="n">
        <v>54</v>
      </c>
      <c r="X39" s="5" t="n">
        <v>33</v>
      </c>
      <c r="Y39" s="5" t="n">
        <v>0.611</v>
      </c>
      <c r="Z39" s="5" t="inlineStr">
        <is>
          <t>significant loss</t>
        </is>
      </c>
      <c r="AA39" s="5" t="n">
        <v>26.49</v>
      </c>
      <c r="AB39" s="5" t="inlineStr">
        <is>
          <t>ni_equivalent;relative_ratio</t>
        </is>
      </c>
      <c r="AC39" s="5" t="inlineStr">
        <is>
          <t>yes</t>
        </is>
      </c>
      <c r="AD39" s="5" t="inlineStr">
        <is>
          <t>Balch et al. PVP2015-45591 Table 3. Multipass GTA weld, gage section 100% weld deposit; transverse orientation, top of weld. Precharged 300 C, 138 MPa H2, 2 weeks -&gt; 7700 appm (about 139 wt ppm). Composition is the 308L filler wire; 304L base metal 19.25Cr-10.25Ni.</t>
        </is>
      </c>
      <c r="AE39" s="6">
        <f>IF(AND($U39="reduction of area",$H39="no"),$Y39,"")</f>
        <v/>
      </c>
      <c r="AF39" s="6">
        <f>IF(AND($U39="reduction of area",$H39="yes"),$Y39,"")</f>
        <v/>
      </c>
    </row>
    <row r="40">
      <c r="A40" s="5" t="inlineStr">
        <is>
          <t>BALCH15-TRAN-TOP-RA</t>
        </is>
      </c>
      <c r="B40" s="5" t="inlineStr">
        <is>
          <t>S3</t>
        </is>
      </c>
      <c r="C40" s="5" t="inlineStr">
        <is>
          <t>Balch 2015</t>
        </is>
      </c>
      <c r="D40" s="5" t="inlineStr">
        <is>
          <t>304L/308L weld</t>
        </is>
      </c>
      <c r="E40" s="5" t="n"/>
      <c r="F40" s="5" t="inlineStr">
        <is>
          <t>300-series (304 type)</t>
        </is>
      </c>
      <c r="G40" s="5" t="inlineStr">
        <is>
          <t>weld</t>
        </is>
      </c>
      <c r="H40" s="5" t="inlineStr">
        <is>
          <t>yes</t>
        </is>
      </c>
      <c r="I40" s="5" t="inlineStr">
        <is>
          <t>weld metal</t>
        </is>
      </c>
      <c r="J40" s="5" t="inlineStr">
        <is>
          <t>GTAW</t>
        </is>
      </c>
      <c r="K40" s="5" t="inlineStr">
        <is>
          <t>ER308L</t>
        </is>
      </c>
      <c r="L40" s="5" t="n"/>
      <c r="M40" s="5" t="inlineStr">
        <is>
          <t>gaseous precharge</t>
        </is>
      </c>
      <c r="N40" s="5" t="n">
        <v>138</v>
      </c>
      <c r="O40" s="5" t="n">
        <v>139</v>
      </c>
      <c r="P40" s="5" t="n">
        <v>336</v>
      </c>
      <c r="Q40" s="5" t="n">
        <v>295</v>
      </c>
      <c r="R40" s="5" t="n">
        <v>21.9</v>
      </c>
      <c r="S40" s="5" t="n">
        <v>0.00076</v>
      </c>
      <c r="T40" s="5" t="inlineStr">
        <is>
          <t>tensile</t>
        </is>
      </c>
      <c r="U40" s="5" t="inlineStr">
        <is>
          <t>reduction of area</t>
        </is>
      </c>
      <c r="V40" s="5" t="inlineStr">
        <is>
          <t>uncharged</t>
        </is>
      </c>
      <c r="W40" s="5" t="n">
        <v>82</v>
      </c>
      <c r="X40" s="5" t="n">
        <v>38</v>
      </c>
      <c r="Y40" s="5" t="n">
        <v>0.463</v>
      </c>
      <c r="Z40" s="5" t="inlineStr">
        <is>
          <t>significant loss</t>
        </is>
      </c>
      <c r="AA40" s="5" t="n">
        <v>26.49</v>
      </c>
      <c r="AB40" s="5" t="inlineStr">
        <is>
          <t>ni_equivalent;relative_ratio</t>
        </is>
      </c>
      <c r="AC40" s="5" t="inlineStr">
        <is>
          <t>yes</t>
        </is>
      </c>
      <c r="AD40" s="5" t="inlineStr">
        <is>
          <t>Balch et al. PVP2015-45591 Table 3. Multipass GTA weld, gage section 100% weld deposit; transverse orientation, top of weld. Precharged 300 C, 138 MPa H2, 2 weeks -&gt; 7700 appm (about 139 wt ppm). Composition is the 308L filler wire; 304L base metal 19.25Cr-10.25Ni.</t>
        </is>
      </c>
      <c r="AE40" s="6">
        <f>IF(AND($U40="reduction of area",$H40="no"),$Y40,"")</f>
        <v/>
      </c>
      <c r="AF40" s="6">
        <f>IF(AND($U40="reduction of area",$H40="yes"),$Y40,"")</f>
        <v/>
      </c>
    </row>
    <row r="41">
      <c r="A41" s="5" t="inlineStr">
        <is>
          <t>SAND2012-ch2101-T431-W1-EL</t>
        </is>
      </c>
      <c r="B41" s="5" t="inlineStr">
        <is>
          <t>S2</t>
        </is>
      </c>
      <c r="C41" s="5" t="inlineStr">
        <is>
          <t>San Marchi 2012</t>
        </is>
      </c>
      <c r="D41" s="5" t="inlineStr">
        <is>
          <t>304L/308L weld</t>
        </is>
      </c>
      <c r="E41" s="5" t="n"/>
      <c r="F41" s="5" t="inlineStr">
        <is>
          <t>300-series (304 type)</t>
        </is>
      </c>
      <c r="G41" s="5" t="inlineStr">
        <is>
          <t>weld</t>
        </is>
      </c>
      <c r="H41" s="5" t="inlineStr">
        <is>
          <t>yes</t>
        </is>
      </c>
      <c r="I41" s="5" t="inlineStr">
        <is>
          <t>whole joint</t>
        </is>
      </c>
      <c r="J41" s="5" t="inlineStr">
        <is>
          <t>GTAW</t>
        </is>
      </c>
      <c r="K41" s="5" t="inlineStr">
        <is>
          <t>ER308L</t>
        </is>
      </c>
      <c r="L41" s="5" t="n"/>
      <c r="M41" s="5" t="inlineStr">
        <is>
          <t>gaseous in-situ</t>
        </is>
      </c>
      <c r="N41" s="5" t="n">
        <v>69</v>
      </c>
      <c r="O41" s="5" t="n"/>
      <c r="P41" s="5" t="n"/>
      <c r="Q41" s="5" t="n">
        <v>295</v>
      </c>
      <c r="R41" s="5" t="n">
        <v>21.9</v>
      </c>
      <c r="S41" s="5" t="n">
        <v>0.00033</v>
      </c>
      <c r="T41" s="5" t="inlineStr">
        <is>
          <t>tensile</t>
        </is>
      </c>
      <c r="U41" s="5" t="inlineStr">
        <is>
          <t>elongation</t>
        </is>
      </c>
      <c r="V41" s="5" t="inlineStr">
        <is>
          <t>air</t>
        </is>
      </c>
      <c r="W41" s="5" t="n">
        <v>23</v>
      </c>
      <c r="X41" s="5" t="n">
        <v>23</v>
      </c>
      <c r="Y41" s="5" t="n">
        <v>1</v>
      </c>
      <c r="Z41" s="5" t="inlineStr">
        <is>
          <t>no measurable loss</t>
        </is>
      </c>
      <c r="AA41" s="5" t="n"/>
      <c r="AB41" s="5" t="inlineStr">
        <is>
          <t>relative_ratio</t>
        </is>
      </c>
      <c r="AC41" s="5" t="inlineStr">
        <is>
          <t>no</t>
        </is>
      </c>
      <c r="AD41" s="5" t="inlineStr">
        <is>
          <t>SAND2012-7321 chapter 2101 Table 4.3.1. 304L HERF back-extrusion, double-J groove, 8-10 GTA passes, 308L filler; gauge contains base metal, HAZ and fusion zone. Ref [20,21]. external 69 MPa H2, no precharge</t>
        </is>
      </c>
      <c r="AE41" s="6">
        <f>IF(AND($U41="reduction of area",$H41="no"),$Y41,"")</f>
        <v/>
      </c>
      <c r="AF41" s="6">
        <f>IF(AND($U41="reduction of area",$H41="yes"),$Y41,"")</f>
        <v/>
      </c>
    </row>
    <row r="42">
      <c r="A42" s="5" t="inlineStr">
        <is>
          <t>SAND2012-ch2101-T431-W1-RA</t>
        </is>
      </c>
      <c r="B42" s="5" t="inlineStr">
        <is>
          <t>S2</t>
        </is>
      </c>
      <c r="C42" s="5" t="inlineStr">
        <is>
          <t>San Marchi 2012</t>
        </is>
      </c>
      <c r="D42" s="5" t="inlineStr">
        <is>
          <t>304L/308L weld</t>
        </is>
      </c>
      <c r="E42" s="5" t="n"/>
      <c r="F42" s="5" t="inlineStr">
        <is>
          <t>300-series (304 type)</t>
        </is>
      </c>
      <c r="G42" s="5" t="inlineStr">
        <is>
          <t>weld</t>
        </is>
      </c>
      <c r="H42" s="5" t="inlineStr">
        <is>
          <t>yes</t>
        </is>
      </c>
      <c r="I42" s="5" t="inlineStr">
        <is>
          <t>whole joint</t>
        </is>
      </c>
      <c r="J42" s="5" t="inlineStr">
        <is>
          <t>GTAW</t>
        </is>
      </c>
      <c r="K42" s="5" t="inlineStr">
        <is>
          <t>ER308L</t>
        </is>
      </c>
      <c r="L42" s="5" t="n"/>
      <c r="M42" s="5" t="inlineStr">
        <is>
          <t>gaseous in-situ</t>
        </is>
      </c>
      <c r="N42" s="5" t="n">
        <v>69</v>
      </c>
      <c r="O42" s="5" t="n"/>
      <c r="P42" s="5" t="n"/>
      <c r="Q42" s="5" t="n">
        <v>295</v>
      </c>
      <c r="R42" s="5" t="n">
        <v>21.9</v>
      </c>
      <c r="S42" s="5" t="n">
        <v>0.00033</v>
      </c>
      <c r="T42" s="5" t="inlineStr">
        <is>
          <t>tensile</t>
        </is>
      </c>
      <c r="U42" s="5" t="inlineStr">
        <is>
          <t>reduction of area</t>
        </is>
      </c>
      <c r="V42" s="5" t="inlineStr">
        <is>
          <t>air</t>
        </is>
      </c>
      <c r="W42" s="5" t="n">
        <v>64</v>
      </c>
      <c r="X42" s="5" t="n">
        <v>54</v>
      </c>
      <c r="Y42" s="5" t="n">
        <v>0.844</v>
      </c>
      <c r="Z42" s="5" t="inlineStr">
        <is>
          <t>moderate loss</t>
        </is>
      </c>
      <c r="AA42" s="5" t="n"/>
      <c r="AB42" s="5" t="inlineStr">
        <is>
          <t>relative_ratio</t>
        </is>
      </c>
      <c r="AC42" s="5" t="inlineStr">
        <is>
          <t>no</t>
        </is>
      </c>
      <c r="AD42" s="5" t="inlineStr">
        <is>
          <t>SAND2012-7321 chapter 2101 Table 4.3.1. 304L HERF back-extrusion, double-J groove, 8-10 GTA passes, 308L filler; gauge contains base metal, HAZ and fusion zone. Ref [20,21]. external 69 MPa H2, no precharge</t>
        </is>
      </c>
      <c r="AE42" s="6">
        <f>IF(AND($U42="reduction of area",$H42="no"),$Y42,"")</f>
        <v/>
      </c>
      <c r="AF42" s="6">
        <f>IF(AND($U42="reduction of area",$H42="yes"),$Y42,"")</f>
        <v/>
      </c>
    </row>
    <row r="43">
      <c r="A43" s="5" t="inlineStr">
        <is>
          <t>SAND2012-ch2101-T431-W2-EL</t>
        </is>
      </c>
      <c r="B43" s="5" t="inlineStr">
        <is>
          <t>S2</t>
        </is>
      </c>
      <c r="C43" s="5" t="inlineStr">
        <is>
          <t>San Marchi 2012</t>
        </is>
      </c>
      <c r="D43" s="5" t="inlineStr">
        <is>
          <t>304L/308L weld</t>
        </is>
      </c>
      <c r="E43" s="5" t="n"/>
      <c r="F43" s="5" t="inlineStr">
        <is>
          <t>300-series (304 type)</t>
        </is>
      </c>
      <c r="G43" s="5" t="inlineStr">
        <is>
          <t>weld</t>
        </is>
      </c>
      <c r="H43" s="5" t="inlineStr">
        <is>
          <t>yes</t>
        </is>
      </c>
      <c r="I43" s="5" t="inlineStr">
        <is>
          <t>whole joint</t>
        </is>
      </c>
      <c r="J43" s="5" t="inlineStr">
        <is>
          <t>GTAW</t>
        </is>
      </c>
      <c r="K43" s="5" t="inlineStr">
        <is>
          <t>ER308L</t>
        </is>
      </c>
      <c r="L43" s="5" t="n"/>
      <c r="M43" s="5" t="inlineStr">
        <is>
          <t>gaseous in-situ</t>
        </is>
      </c>
      <c r="N43" s="5" t="n">
        <v>172</v>
      </c>
      <c r="O43" s="5" t="n"/>
      <c r="P43" s="5" t="n"/>
      <c r="Q43" s="5" t="n">
        <v>295</v>
      </c>
      <c r="R43" s="5" t="n">
        <v>21.9</v>
      </c>
      <c r="S43" s="5" t="n">
        <v>0.00033</v>
      </c>
      <c r="T43" s="5" t="inlineStr">
        <is>
          <t>tensile</t>
        </is>
      </c>
      <c r="U43" s="5" t="inlineStr">
        <is>
          <t>elongation</t>
        </is>
      </c>
      <c r="V43" s="5" t="inlineStr">
        <is>
          <t>air</t>
        </is>
      </c>
      <c r="W43" s="5" t="n">
        <v>23</v>
      </c>
      <c r="X43" s="5" t="n">
        <v>19</v>
      </c>
      <c r="Y43" s="5" t="n">
        <v>0.826</v>
      </c>
      <c r="Z43" s="5" t="inlineStr">
        <is>
          <t>moderate loss</t>
        </is>
      </c>
      <c r="AA43" s="5" t="n"/>
      <c r="AB43" s="5" t="inlineStr">
        <is>
          <t>relative_ratio</t>
        </is>
      </c>
      <c r="AC43" s="5" t="inlineStr">
        <is>
          <t>no</t>
        </is>
      </c>
      <c r="AD43" s="5" t="inlineStr">
        <is>
          <t>SAND2012-7321 chapter 2101 Table 4.3.1. 304L HERF back-extrusion, double-J groove, 8-10 GTA passes, 308L filler; gauge contains base metal, HAZ and fusion zone. Ref [20,21]. external 172 MPa H2, no precharge</t>
        </is>
      </c>
      <c r="AE43" s="6">
        <f>IF(AND($U43="reduction of area",$H43="no"),$Y43,"")</f>
        <v/>
      </c>
      <c r="AF43" s="6">
        <f>IF(AND($U43="reduction of area",$H43="yes"),$Y43,"")</f>
        <v/>
      </c>
    </row>
    <row r="44">
      <c r="A44" s="5" t="inlineStr">
        <is>
          <t>SAND2012-ch2101-T431-W2-RA</t>
        </is>
      </c>
      <c r="B44" s="5" t="inlineStr">
        <is>
          <t>S2</t>
        </is>
      </c>
      <c r="C44" s="5" t="inlineStr">
        <is>
          <t>San Marchi 2012</t>
        </is>
      </c>
      <c r="D44" s="5" t="inlineStr">
        <is>
          <t>304L/308L weld</t>
        </is>
      </c>
      <c r="E44" s="5" t="n"/>
      <c r="F44" s="5" t="inlineStr">
        <is>
          <t>300-series (304 type)</t>
        </is>
      </c>
      <c r="G44" s="5" t="inlineStr">
        <is>
          <t>weld</t>
        </is>
      </c>
      <c r="H44" s="5" t="inlineStr">
        <is>
          <t>yes</t>
        </is>
      </c>
      <c r="I44" s="5" t="inlineStr">
        <is>
          <t>whole joint</t>
        </is>
      </c>
      <c r="J44" s="5" t="inlineStr">
        <is>
          <t>GTAW</t>
        </is>
      </c>
      <c r="K44" s="5" t="inlineStr">
        <is>
          <t>ER308L</t>
        </is>
      </c>
      <c r="L44" s="5" t="n"/>
      <c r="M44" s="5" t="inlineStr">
        <is>
          <t>gaseous in-situ</t>
        </is>
      </c>
      <c r="N44" s="5" t="n">
        <v>172</v>
      </c>
      <c r="O44" s="5" t="n"/>
      <c r="P44" s="5" t="n"/>
      <c r="Q44" s="5" t="n">
        <v>295</v>
      </c>
      <c r="R44" s="5" t="n">
        <v>21.9</v>
      </c>
      <c r="S44" s="5" t="n">
        <v>0.00033</v>
      </c>
      <c r="T44" s="5" t="inlineStr">
        <is>
          <t>tensile</t>
        </is>
      </c>
      <c r="U44" s="5" t="inlineStr">
        <is>
          <t>reduction of area</t>
        </is>
      </c>
      <c r="V44" s="5" t="inlineStr">
        <is>
          <t>air</t>
        </is>
      </c>
      <c r="W44" s="5" t="n">
        <v>64</v>
      </c>
      <c r="X44" s="5" t="n">
        <v>48</v>
      </c>
      <c r="Y44" s="5" t="n">
        <v>0.75</v>
      </c>
      <c r="Z44" s="5" t="inlineStr">
        <is>
          <t>significant loss</t>
        </is>
      </c>
      <c r="AA44" s="5" t="n"/>
      <c r="AB44" s="5" t="inlineStr">
        <is>
          <t>relative_ratio</t>
        </is>
      </c>
      <c r="AC44" s="5" t="inlineStr">
        <is>
          <t>no</t>
        </is>
      </c>
      <c r="AD44" s="5" t="inlineStr">
        <is>
          <t>SAND2012-7321 chapter 2101 Table 4.3.1. 304L HERF back-extrusion, double-J groove, 8-10 GTA passes, 308L filler; gauge contains base metal, HAZ and fusion zone. Ref [20,21]. external 172 MPa H2, no precharge</t>
        </is>
      </c>
      <c r="AE44" s="6">
        <f>IF(AND($U44="reduction of area",$H44="no"),$Y44,"")</f>
        <v/>
      </c>
      <c r="AF44" s="6">
        <f>IF(AND($U44="reduction of area",$H44="yes"),$Y44,"")</f>
        <v/>
      </c>
    </row>
    <row r="45">
      <c r="A45" s="5" t="inlineStr">
        <is>
          <t>SAND2012-ch2101-T431-W3-EL</t>
        </is>
      </c>
      <c r="B45" s="5" t="inlineStr">
        <is>
          <t>S2</t>
        </is>
      </c>
      <c r="C45" s="5" t="inlineStr">
        <is>
          <t>San Marchi 2012</t>
        </is>
      </c>
      <c r="D45" s="5" t="inlineStr">
        <is>
          <t>304L/308L weld</t>
        </is>
      </c>
      <c r="E45" s="5" t="n"/>
      <c r="F45" s="5" t="inlineStr">
        <is>
          <t>300-series (304 type)</t>
        </is>
      </c>
      <c r="G45" s="5" t="inlineStr">
        <is>
          <t>weld</t>
        </is>
      </c>
      <c r="H45" s="5" t="inlineStr">
        <is>
          <t>yes</t>
        </is>
      </c>
      <c r="I45" s="5" t="inlineStr">
        <is>
          <t>whole joint</t>
        </is>
      </c>
      <c r="J45" s="5" t="inlineStr">
        <is>
          <t>GTAW</t>
        </is>
      </c>
      <c r="K45" s="5" t="inlineStr">
        <is>
          <t>ER308L</t>
        </is>
      </c>
      <c r="L45" s="5" t="n"/>
      <c r="M45" s="5" t="inlineStr">
        <is>
          <t>gaseous precharge</t>
        </is>
      </c>
      <c r="N45" s="5" t="n">
        <v>0.1</v>
      </c>
      <c r="O45" s="5" t="n">
        <v>45</v>
      </c>
      <c r="P45" s="5" t="n">
        <v>240</v>
      </c>
      <c r="Q45" s="5" t="n">
        <v>295</v>
      </c>
      <c r="R45" s="5" t="n">
        <v>21.9</v>
      </c>
      <c r="S45" s="5" t="n">
        <v>0.00033</v>
      </c>
      <c r="T45" s="5" t="inlineStr">
        <is>
          <t>tensile</t>
        </is>
      </c>
      <c r="U45" s="5" t="inlineStr">
        <is>
          <t>elongation</t>
        </is>
      </c>
      <c r="V45" s="5" t="inlineStr">
        <is>
          <t>air</t>
        </is>
      </c>
      <c r="W45" s="5" t="n">
        <v>23</v>
      </c>
      <c r="X45" s="5" t="n">
        <v>17</v>
      </c>
      <c r="Y45" s="5" t="n">
        <v>0.739</v>
      </c>
      <c r="Z45" s="5" t="inlineStr">
        <is>
          <t>significant loss</t>
        </is>
      </c>
      <c r="AA45" s="5" t="n"/>
      <c r="AB45" s="5" t="inlineStr">
        <is>
          <t>relative_ratio</t>
        </is>
      </c>
      <c r="AC45" s="5" t="inlineStr">
        <is>
          <t>no</t>
        </is>
      </c>
      <c r="AD45" s="5" t="inlineStr">
        <is>
          <t>SAND2012-7321 chapter 2101 Table 4.3.1. 304L HERF back-extrusion, double-J groove, 8-10 GTA passes, 308L filler; gauge contains base metal, HAZ and fusion zone. Ref [20,21]. precharged 24 MPa H2 473 K 240 h (45-4 wppm), tested in air</t>
        </is>
      </c>
      <c r="AE45" s="6">
        <f>IF(AND($U45="reduction of area",$H45="no"),$Y45,"")</f>
        <v/>
      </c>
      <c r="AF45" s="6">
        <f>IF(AND($U45="reduction of area",$H45="yes"),$Y45,"")</f>
        <v/>
      </c>
    </row>
    <row r="46">
      <c r="A46" s="5" t="inlineStr">
        <is>
          <t>SAND2012-ch2101-T431-W3-RA</t>
        </is>
      </c>
      <c r="B46" s="5" t="inlineStr">
        <is>
          <t>S2</t>
        </is>
      </c>
      <c r="C46" s="5" t="inlineStr">
        <is>
          <t>San Marchi 2012</t>
        </is>
      </c>
      <c r="D46" s="5" t="inlineStr">
        <is>
          <t>304L/308L weld</t>
        </is>
      </c>
      <c r="E46" s="5" t="n"/>
      <c r="F46" s="5" t="inlineStr">
        <is>
          <t>300-series (304 type)</t>
        </is>
      </c>
      <c r="G46" s="5" t="inlineStr">
        <is>
          <t>weld</t>
        </is>
      </c>
      <c r="H46" s="5" t="inlineStr">
        <is>
          <t>yes</t>
        </is>
      </c>
      <c r="I46" s="5" t="inlineStr">
        <is>
          <t>whole joint</t>
        </is>
      </c>
      <c r="J46" s="5" t="inlineStr">
        <is>
          <t>GTAW</t>
        </is>
      </c>
      <c r="K46" s="5" t="inlineStr">
        <is>
          <t>ER308L</t>
        </is>
      </c>
      <c r="L46" s="5" t="n"/>
      <c r="M46" s="5" t="inlineStr">
        <is>
          <t>gaseous precharge</t>
        </is>
      </c>
      <c r="N46" s="5" t="n">
        <v>0.1</v>
      </c>
      <c r="O46" s="5" t="n">
        <v>45</v>
      </c>
      <c r="P46" s="5" t="n">
        <v>240</v>
      </c>
      <c r="Q46" s="5" t="n">
        <v>295</v>
      </c>
      <c r="R46" s="5" t="n">
        <v>21.9</v>
      </c>
      <c r="S46" s="5" t="n">
        <v>0.00033</v>
      </c>
      <c r="T46" s="5" t="inlineStr">
        <is>
          <t>tensile</t>
        </is>
      </c>
      <c r="U46" s="5" t="inlineStr">
        <is>
          <t>reduction of area</t>
        </is>
      </c>
      <c r="V46" s="5" t="inlineStr">
        <is>
          <t>air</t>
        </is>
      </c>
      <c r="W46" s="5" t="n">
        <v>64</v>
      </c>
      <c r="X46" s="5" t="n">
        <v>44</v>
      </c>
      <c r="Y46" s="5" t="n">
        <v>0.6879999999999999</v>
      </c>
      <c r="Z46" s="5" t="inlineStr">
        <is>
          <t>significant loss</t>
        </is>
      </c>
      <c r="AA46" s="5" t="n"/>
      <c r="AB46" s="5" t="inlineStr">
        <is>
          <t>relative_ratio</t>
        </is>
      </c>
      <c r="AC46" s="5" t="inlineStr">
        <is>
          <t>no</t>
        </is>
      </c>
      <c r="AD46" s="5" t="inlineStr">
        <is>
          <t>SAND2012-7321 chapter 2101 Table 4.3.1. 304L HERF back-extrusion, double-J groove, 8-10 GTA passes, 308L filler; gauge contains base metal, HAZ and fusion zone. Ref [20,21]. precharged 24 MPa H2 473 K 240 h (45-4 wppm), tested in air</t>
        </is>
      </c>
      <c r="AE46" s="6">
        <f>IF(AND($U46="reduction of area",$H46="no"),$Y46,"")</f>
        <v/>
      </c>
      <c r="AF46" s="6">
        <f>IF(AND($U46="reduction of area",$H46="yes"),$Y46,"")</f>
        <v/>
      </c>
    </row>
    <row r="47">
      <c r="A47" s="5" t="inlineStr">
        <is>
          <t>SAND2012-ch2101-T431-W4-EL</t>
        </is>
      </c>
      <c r="B47" s="5" t="inlineStr">
        <is>
          <t>S2</t>
        </is>
      </c>
      <c r="C47" s="5" t="inlineStr">
        <is>
          <t>San Marchi 2012</t>
        </is>
      </c>
      <c r="D47" s="5" t="inlineStr">
        <is>
          <t>304L/308L weld</t>
        </is>
      </c>
      <c r="E47" s="5" t="n"/>
      <c r="F47" s="5" t="inlineStr">
        <is>
          <t>300-series (304 type)</t>
        </is>
      </c>
      <c r="G47" s="5" t="inlineStr">
        <is>
          <t>weld</t>
        </is>
      </c>
      <c r="H47" s="5" t="inlineStr">
        <is>
          <t>yes</t>
        </is>
      </c>
      <c r="I47" s="5" t="inlineStr">
        <is>
          <t>whole joint</t>
        </is>
      </c>
      <c r="J47" s="5" t="inlineStr">
        <is>
          <t>GTAW</t>
        </is>
      </c>
      <c r="K47" s="5" t="inlineStr">
        <is>
          <t>ER308L</t>
        </is>
      </c>
      <c r="L47" s="5" t="n"/>
      <c r="M47" s="5" t="inlineStr">
        <is>
          <t>gaseous precharge</t>
        </is>
      </c>
      <c r="N47" s="5" t="n">
        <v>69</v>
      </c>
      <c r="O47" s="5" t="n">
        <v>45</v>
      </c>
      <c r="P47" s="5" t="n">
        <v>240</v>
      </c>
      <c r="Q47" s="5" t="n">
        <v>295</v>
      </c>
      <c r="R47" s="5" t="n">
        <v>21.9</v>
      </c>
      <c r="S47" s="5" t="n">
        <v>0.00033</v>
      </c>
      <c r="T47" s="5" t="inlineStr">
        <is>
          <t>tensile</t>
        </is>
      </c>
      <c r="U47" s="5" t="inlineStr">
        <is>
          <t>elongation</t>
        </is>
      </c>
      <c r="V47" s="5" t="inlineStr">
        <is>
          <t>air</t>
        </is>
      </c>
      <c r="W47" s="5" t="n">
        <v>23</v>
      </c>
      <c r="X47" s="5" t="n">
        <v>16</v>
      </c>
      <c r="Y47" s="5" t="n">
        <v>0.696</v>
      </c>
      <c r="Z47" s="5" t="inlineStr">
        <is>
          <t>significant loss</t>
        </is>
      </c>
      <c r="AA47" s="5" t="n"/>
      <c r="AB47" s="5" t="inlineStr">
        <is>
          <t>relative_ratio</t>
        </is>
      </c>
      <c r="AC47" s="5" t="inlineStr">
        <is>
          <t>no</t>
        </is>
      </c>
      <c r="AD47" s="5" t="inlineStr">
        <is>
          <t>SAND2012-7321 chapter 2101 Table 4.3.1. 304L HERF back-extrusion, double-J groove, 8-10 GTA passes, 308L filler; gauge contains base metal, HAZ and fusion zone. Ref [20,21]. precharged 24 MPa, tested in 69 MPa H2</t>
        </is>
      </c>
      <c r="AE47" s="6">
        <f>IF(AND($U47="reduction of area",$H47="no"),$Y47,"")</f>
        <v/>
      </c>
      <c r="AF47" s="6">
        <f>IF(AND($U47="reduction of area",$H47="yes"),$Y47,"")</f>
        <v/>
      </c>
    </row>
    <row r="48">
      <c r="A48" s="5" t="inlineStr">
        <is>
          <t>SAND2012-ch2101-T431-W4-RA</t>
        </is>
      </c>
      <c r="B48" s="5" t="inlineStr">
        <is>
          <t>S2</t>
        </is>
      </c>
      <c r="C48" s="5" t="inlineStr">
        <is>
          <t>San Marchi 2012</t>
        </is>
      </c>
      <c r="D48" s="5" t="inlineStr">
        <is>
          <t>304L/308L weld</t>
        </is>
      </c>
      <c r="E48" s="5" t="n"/>
      <c r="F48" s="5" t="inlineStr">
        <is>
          <t>300-series (304 type)</t>
        </is>
      </c>
      <c r="G48" s="5" t="inlineStr">
        <is>
          <t>weld</t>
        </is>
      </c>
      <c r="H48" s="5" t="inlineStr">
        <is>
          <t>yes</t>
        </is>
      </c>
      <c r="I48" s="5" t="inlineStr">
        <is>
          <t>whole joint</t>
        </is>
      </c>
      <c r="J48" s="5" t="inlineStr">
        <is>
          <t>GTAW</t>
        </is>
      </c>
      <c r="K48" s="5" t="inlineStr">
        <is>
          <t>ER308L</t>
        </is>
      </c>
      <c r="L48" s="5" t="n"/>
      <c r="M48" s="5" t="inlineStr">
        <is>
          <t>gaseous precharge</t>
        </is>
      </c>
      <c r="N48" s="5" t="n">
        <v>69</v>
      </c>
      <c r="O48" s="5" t="n">
        <v>45</v>
      </c>
      <c r="P48" s="5" t="n">
        <v>240</v>
      </c>
      <c r="Q48" s="5" t="n">
        <v>295</v>
      </c>
      <c r="R48" s="5" t="n">
        <v>21.9</v>
      </c>
      <c r="S48" s="5" t="n">
        <v>0.00033</v>
      </c>
      <c r="T48" s="5" t="inlineStr">
        <is>
          <t>tensile</t>
        </is>
      </c>
      <c r="U48" s="5" t="inlineStr">
        <is>
          <t>reduction of area</t>
        </is>
      </c>
      <c r="V48" s="5" t="inlineStr">
        <is>
          <t>air</t>
        </is>
      </c>
      <c r="W48" s="5" t="n">
        <v>64</v>
      </c>
      <c r="X48" s="5" t="n">
        <v>41</v>
      </c>
      <c r="Y48" s="5" t="n">
        <v>0.641</v>
      </c>
      <c r="Z48" s="5" t="inlineStr">
        <is>
          <t>significant loss</t>
        </is>
      </c>
      <c r="AA48" s="5" t="n"/>
      <c r="AB48" s="5" t="inlineStr">
        <is>
          <t>relative_ratio</t>
        </is>
      </c>
      <c r="AC48" s="5" t="inlineStr">
        <is>
          <t>no</t>
        </is>
      </c>
      <c r="AD48" s="5" t="inlineStr">
        <is>
          <t>SAND2012-7321 chapter 2101 Table 4.3.1. 304L HERF back-extrusion, double-J groove, 8-10 GTA passes, 308L filler; gauge contains base metal, HAZ and fusion zone. Ref [20,21]. precharged 24 MPa, tested in 69 MPa H2</t>
        </is>
      </c>
      <c r="AE48" s="6">
        <f>IF(AND($U48="reduction of area",$H48="no"),$Y48,"")</f>
        <v/>
      </c>
      <c r="AF48" s="6">
        <f>IF(AND($U48="reduction of area",$H48="yes"),$Y48,"")</f>
        <v/>
      </c>
    </row>
    <row r="49">
      <c r="A49" s="5" t="inlineStr">
        <is>
          <t>SAND2012-ch2101-T431-W5-EL</t>
        </is>
      </c>
      <c r="B49" s="5" t="inlineStr">
        <is>
          <t>S2</t>
        </is>
      </c>
      <c r="C49" s="5" t="inlineStr">
        <is>
          <t>San Marchi 2012</t>
        </is>
      </c>
      <c r="D49" s="5" t="inlineStr">
        <is>
          <t>304L/308L weld</t>
        </is>
      </c>
      <c r="E49" s="5" t="n"/>
      <c r="F49" s="5" t="inlineStr">
        <is>
          <t>300-series (304 type)</t>
        </is>
      </c>
      <c r="G49" s="5" t="inlineStr">
        <is>
          <t>weld</t>
        </is>
      </c>
      <c r="H49" s="5" t="inlineStr">
        <is>
          <t>yes</t>
        </is>
      </c>
      <c r="I49" s="5" t="inlineStr">
        <is>
          <t>whole joint</t>
        </is>
      </c>
      <c r="J49" s="5" t="inlineStr">
        <is>
          <t>GTAW</t>
        </is>
      </c>
      <c r="K49" s="5" t="inlineStr">
        <is>
          <t>ER308L</t>
        </is>
      </c>
      <c r="L49" s="5" t="n"/>
      <c r="M49" s="5" t="inlineStr">
        <is>
          <t>gaseous precharge</t>
        </is>
      </c>
      <c r="N49" s="5" t="n">
        <v>0.1</v>
      </c>
      <c r="O49" s="5" t="n">
        <v>72</v>
      </c>
      <c r="P49" s="5" t="n">
        <v>240</v>
      </c>
      <c r="Q49" s="5" t="n">
        <v>295</v>
      </c>
      <c r="R49" s="5" t="n">
        <v>21.9</v>
      </c>
      <c r="S49" s="5" t="n">
        <v>0.00033</v>
      </c>
      <c r="T49" s="5" t="inlineStr">
        <is>
          <t>tensile</t>
        </is>
      </c>
      <c r="U49" s="5" t="inlineStr">
        <is>
          <t>elongation</t>
        </is>
      </c>
      <c r="V49" s="5" t="inlineStr">
        <is>
          <t>air</t>
        </is>
      </c>
      <c r="W49" s="5" t="n">
        <v>23</v>
      </c>
      <c r="X49" s="5" t="n">
        <v>13</v>
      </c>
      <c r="Y49" s="5" t="n">
        <v>0.5649999999999999</v>
      </c>
      <c r="Z49" s="5" t="inlineStr">
        <is>
          <t>significant loss</t>
        </is>
      </c>
      <c r="AA49" s="5" t="n"/>
      <c r="AB49" s="5" t="inlineStr">
        <is>
          <t>relative_ratio</t>
        </is>
      </c>
      <c r="AC49" s="5" t="inlineStr">
        <is>
          <t>no</t>
        </is>
      </c>
      <c r="AD49" s="5" t="inlineStr">
        <is>
          <t>SAND2012-7321 chapter 2101 Table 4.3.1. 304L HERF back-extrusion, double-J groove, 8-10 GTA passes, 308L filler; gauge contains base metal, HAZ and fusion zone. Ref [20,21]. precharged 69 MPa H2 473 K 240 h (72-7 wppm), tested in air</t>
        </is>
      </c>
      <c r="AE49" s="6">
        <f>IF(AND($U49="reduction of area",$H49="no"),$Y49,"")</f>
        <v/>
      </c>
      <c r="AF49" s="6">
        <f>IF(AND($U49="reduction of area",$H49="yes"),$Y49,"")</f>
        <v/>
      </c>
    </row>
    <row r="50">
      <c r="A50" s="5" t="inlineStr">
        <is>
          <t>SAND2012-ch2101-T431-W5-RA</t>
        </is>
      </c>
      <c r="B50" s="5" t="inlineStr">
        <is>
          <t>S2</t>
        </is>
      </c>
      <c r="C50" s="5" t="inlineStr">
        <is>
          <t>San Marchi 2012</t>
        </is>
      </c>
      <c r="D50" s="5" t="inlineStr">
        <is>
          <t>304L/308L weld</t>
        </is>
      </c>
      <c r="E50" s="5" t="n"/>
      <c r="F50" s="5" t="inlineStr">
        <is>
          <t>300-series (304 type)</t>
        </is>
      </c>
      <c r="G50" s="5" t="inlineStr">
        <is>
          <t>weld</t>
        </is>
      </c>
      <c r="H50" s="5" t="inlineStr">
        <is>
          <t>yes</t>
        </is>
      </c>
      <c r="I50" s="5" t="inlineStr">
        <is>
          <t>whole joint</t>
        </is>
      </c>
      <c r="J50" s="5" t="inlineStr">
        <is>
          <t>GTAW</t>
        </is>
      </c>
      <c r="K50" s="5" t="inlineStr">
        <is>
          <t>ER308L</t>
        </is>
      </c>
      <c r="L50" s="5" t="n"/>
      <c r="M50" s="5" t="inlineStr">
        <is>
          <t>gaseous precharge</t>
        </is>
      </c>
      <c r="N50" s="5" t="n">
        <v>0.1</v>
      </c>
      <c r="O50" s="5" t="n">
        <v>72</v>
      </c>
      <c r="P50" s="5" t="n">
        <v>240</v>
      </c>
      <c r="Q50" s="5" t="n">
        <v>295</v>
      </c>
      <c r="R50" s="5" t="n">
        <v>21.9</v>
      </c>
      <c r="S50" s="5" t="n">
        <v>0.00033</v>
      </c>
      <c r="T50" s="5" t="inlineStr">
        <is>
          <t>tensile</t>
        </is>
      </c>
      <c r="U50" s="5" t="inlineStr">
        <is>
          <t>reduction of area</t>
        </is>
      </c>
      <c r="V50" s="5" t="inlineStr">
        <is>
          <t>air</t>
        </is>
      </c>
      <c r="W50" s="5" t="n">
        <v>64</v>
      </c>
      <c r="X50" s="5" t="n">
        <v>34</v>
      </c>
      <c r="Y50" s="5" t="n">
        <v>0.531</v>
      </c>
      <c r="Z50" s="5" t="inlineStr">
        <is>
          <t>significant loss</t>
        </is>
      </c>
      <c r="AA50" s="5" t="n"/>
      <c r="AB50" s="5" t="inlineStr">
        <is>
          <t>relative_ratio</t>
        </is>
      </c>
      <c r="AC50" s="5" t="inlineStr">
        <is>
          <t>no</t>
        </is>
      </c>
      <c r="AD50" s="5" t="inlineStr">
        <is>
          <t>SAND2012-7321 chapter 2101 Table 4.3.1. 304L HERF back-extrusion, double-J groove, 8-10 GTA passes, 308L filler; gauge contains base metal, HAZ and fusion zone. Ref [20,21]. precharged 69 MPa H2 473 K 240 h (72-7 wppm), tested in air</t>
        </is>
      </c>
      <c r="AE50" s="6">
        <f>IF(AND($U50="reduction of area",$H50="no"),$Y50,"")</f>
        <v/>
      </c>
      <c r="AF50" s="6">
        <f>IF(AND($U50="reduction of area",$H50="yes"),$Y50,"")</f>
        <v/>
      </c>
    </row>
    <row r="51">
      <c r="A51" s="5" t="inlineStr">
        <is>
          <t>SAND2012-ch2101-T431-W6-EL</t>
        </is>
      </c>
      <c r="B51" s="5" t="inlineStr">
        <is>
          <t>S2</t>
        </is>
      </c>
      <c r="C51" s="5" t="inlineStr">
        <is>
          <t>San Marchi 2012</t>
        </is>
      </c>
      <c r="D51" s="5" t="inlineStr">
        <is>
          <t>304L/308L weld</t>
        </is>
      </c>
      <c r="E51" s="5" t="n"/>
      <c r="F51" s="5" t="inlineStr">
        <is>
          <t>300-series (304 type)</t>
        </is>
      </c>
      <c r="G51" s="5" t="inlineStr">
        <is>
          <t>weld</t>
        </is>
      </c>
      <c r="H51" s="5" t="inlineStr">
        <is>
          <t>yes</t>
        </is>
      </c>
      <c r="I51" s="5" t="inlineStr">
        <is>
          <t>whole joint</t>
        </is>
      </c>
      <c r="J51" s="5" t="inlineStr">
        <is>
          <t>GTAW</t>
        </is>
      </c>
      <c r="K51" s="5" t="inlineStr">
        <is>
          <t>ER308L</t>
        </is>
      </c>
      <c r="L51" s="5" t="n"/>
      <c r="M51" s="5" t="inlineStr">
        <is>
          <t>gaseous precharge</t>
        </is>
      </c>
      <c r="N51" s="5" t="n">
        <v>172</v>
      </c>
      <c r="O51" s="5" t="n">
        <v>72</v>
      </c>
      <c r="P51" s="5" t="n">
        <v>240</v>
      </c>
      <c r="Q51" s="5" t="n">
        <v>295</v>
      </c>
      <c r="R51" s="5" t="n">
        <v>21.9</v>
      </c>
      <c r="S51" s="5" t="n">
        <v>0.00033</v>
      </c>
      <c r="T51" s="5" t="inlineStr">
        <is>
          <t>tensile</t>
        </is>
      </c>
      <c r="U51" s="5" t="inlineStr">
        <is>
          <t>elongation</t>
        </is>
      </c>
      <c r="V51" s="5" t="inlineStr">
        <is>
          <t>air</t>
        </is>
      </c>
      <c r="W51" s="5" t="n">
        <v>23</v>
      </c>
      <c r="X51" s="5" t="n">
        <v>12</v>
      </c>
      <c r="Y51" s="5" t="n">
        <v>0.522</v>
      </c>
      <c r="Z51" s="5" t="inlineStr">
        <is>
          <t>significant loss</t>
        </is>
      </c>
      <c r="AA51" s="5" t="n"/>
      <c r="AB51" s="5" t="inlineStr">
        <is>
          <t>relative_ratio</t>
        </is>
      </c>
      <c r="AC51" s="5" t="inlineStr">
        <is>
          <t>no</t>
        </is>
      </c>
      <c r="AD51" s="5" t="inlineStr">
        <is>
          <t>SAND2012-7321 chapter 2101 Table 4.3.1. 304L HERF back-extrusion, double-J groove, 8-10 GTA passes, 308L filler; gauge contains base metal, HAZ and fusion zone. Ref [20,21]. precharged 69 MPa, tested in 172 MPa H2</t>
        </is>
      </c>
      <c r="AE51" s="6">
        <f>IF(AND($U51="reduction of area",$H51="no"),$Y51,"")</f>
        <v/>
      </c>
      <c r="AF51" s="6">
        <f>IF(AND($U51="reduction of area",$H51="yes"),$Y51,"")</f>
        <v/>
      </c>
    </row>
    <row r="52">
      <c r="A52" s="5" t="inlineStr">
        <is>
          <t>SAND2012-ch2101-T431-W6-RA</t>
        </is>
      </c>
      <c r="B52" s="5" t="inlineStr">
        <is>
          <t>S2</t>
        </is>
      </c>
      <c r="C52" s="5" t="inlineStr">
        <is>
          <t>San Marchi 2012</t>
        </is>
      </c>
      <c r="D52" s="5" t="inlineStr">
        <is>
          <t>304L/308L weld</t>
        </is>
      </c>
      <c r="E52" s="5" t="n"/>
      <c r="F52" s="5" t="inlineStr">
        <is>
          <t>300-series (304 type)</t>
        </is>
      </c>
      <c r="G52" s="5" t="inlineStr">
        <is>
          <t>weld</t>
        </is>
      </c>
      <c r="H52" s="5" t="inlineStr">
        <is>
          <t>yes</t>
        </is>
      </c>
      <c r="I52" s="5" t="inlineStr">
        <is>
          <t>whole joint</t>
        </is>
      </c>
      <c r="J52" s="5" t="inlineStr">
        <is>
          <t>GTAW</t>
        </is>
      </c>
      <c r="K52" s="5" t="inlineStr">
        <is>
          <t>ER308L</t>
        </is>
      </c>
      <c r="L52" s="5" t="n"/>
      <c r="M52" s="5" t="inlineStr">
        <is>
          <t>gaseous precharge</t>
        </is>
      </c>
      <c r="N52" s="5" t="n">
        <v>172</v>
      </c>
      <c r="O52" s="5" t="n">
        <v>72</v>
      </c>
      <c r="P52" s="5" t="n">
        <v>240</v>
      </c>
      <c r="Q52" s="5" t="n">
        <v>295</v>
      </c>
      <c r="R52" s="5" t="n">
        <v>21.9</v>
      </c>
      <c r="S52" s="5" t="n">
        <v>0.00033</v>
      </c>
      <c r="T52" s="5" t="inlineStr">
        <is>
          <t>tensile</t>
        </is>
      </c>
      <c r="U52" s="5" t="inlineStr">
        <is>
          <t>reduction of area</t>
        </is>
      </c>
      <c r="V52" s="5" t="inlineStr">
        <is>
          <t>air</t>
        </is>
      </c>
      <c r="W52" s="5" t="n">
        <v>64</v>
      </c>
      <c r="X52" s="5" t="n">
        <v>31</v>
      </c>
      <c r="Y52" s="5" t="n">
        <v>0.484</v>
      </c>
      <c r="Z52" s="5" t="inlineStr">
        <is>
          <t>significant loss</t>
        </is>
      </c>
      <c r="AA52" s="5" t="n"/>
      <c r="AB52" s="5" t="inlineStr">
        <is>
          <t>relative_ratio</t>
        </is>
      </c>
      <c r="AC52" s="5" t="inlineStr">
        <is>
          <t>no</t>
        </is>
      </c>
      <c r="AD52" s="5" t="inlineStr">
        <is>
          <t>SAND2012-7321 chapter 2101 Table 4.3.1. 304L HERF back-extrusion, double-J groove, 8-10 GTA passes, 308L filler; gauge contains base metal, HAZ and fusion zone. Ref [20,21]. precharged 69 MPa, tested in 172 MPa H2</t>
        </is>
      </c>
      <c r="AE52" s="6">
        <f>IF(AND($U52="reduction of area",$H52="no"),$Y52,"")</f>
        <v/>
      </c>
      <c r="AF52" s="6">
        <f>IF(AND($U52="reduction of area",$H52="yes"),$Y52,"")</f>
        <v/>
      </c>
    </row>
    <row r="53">
      <c r="A53" s="5" t="inlineStr">
        <is>
          <t>SAND2012-ch2101-T432-FN47</t>
        </is>
      </c>
      <c r="B53" s="5" t="inlineStr">
        <is>
          <t>S2</t>
        </is>
      </c>
      <c r="C53" s="5" t="inlineStr">
        <is>
          <t>San Marchi 2012</t>
        </is>
      </c>
      <c r="D53" s="5" t="inlineStr">
        <is>
          <t>304L/308L weld</t>
        </is>
      </c>
      <c r="E53" s="5" t="n"/>
      <c r="F53" s="5" t="inlineStr">
        <is>
          <t>300-series (304 type)</t>
        </is>
      </c>
      <c r="G53" s="5" t="inlineStr">
        <is>
          <t>weld</t>
        </is>
      </c>
      <c r="H53" s="5" t="inlineStr">
        <is>
          <t>yes</t>
        </is>
      </c>
      <c r="I53" s="5" t="inlineStr">
        <is>
          <t>whole joint</t>
        </is>
      </c>
      <c r="J53" s="5" t="inlineStr">
        <is>
          <t>GTAW</t>
        </is>
      </c>
      <c r="K53" s="5" t="inlineStr">
        <is>
          <t>ER308L</t>
        </is>
      </c>
      <c r="L53" s="5" t="n">
        <v>4.7</v>
      </c>
      <c r="M53" s="5" t="inlineStr">
        <is>
          <t>gaseous in-situ</t>
        </is>
      </c>
      <c r="N53" s="5" t="n">
        <v>69</v>
      </c>
      <c r="O53" s="5" t="n"/>
      <c r="P53" s="5" t="n"/>
      <c r="Q53" s="5" t="n">
        <v>295</v>
      </c>
      <c r="R53" s="5" t="n">
        <v>21.9</v>
      </c>
      <c r="S53" s="5" t="n"/>
      <c r="T53" s="5" t="inlineStr">
        <is>
          <t>tensile</t>
        </is>
      </c>
      <c r="U53" s="5" t="inlineStr">
        <is>
          <t>reduction of area</t>
        </is>
      </c>
      <c r="V53" s="5" t="inlineStr">
        <is>
          <t>air</t>
        </is>
      </c>
      <c r="W53" s="5" t="n">
        <v>40</v>
      </c>
      <c r="X53" s="5" t="n">
        <v>14</v>
      </c>
      <c r="Y53" s="5" t="n">
        <v>0.35</v>
      </c>
      <c r="Z53" s="5" t="inlineStr">
        <is>
          <t>significant loss</t>
        </is>
      </c>
      <c r="AA53" s="5" t="n"/>
      <c r="AB53" s="5" t="inlineStr">
        <is>
          <t>relative_ratio</t>
        </is>
      </c>
      <c r="AC53" s="5" t="inlineStr">
        <is>
          <t>no</t>
        </is>
      </c>
      <c r="AD53" s="5" t="inlineStr">
        <is>
          <t>SAND2012-7321 chapter 2101 Table 4.3.2. Notched (V-notch, 45 deg, 3.95 mm min dia, 1.3 mm root radius) composite GTA weld, external 69 MPa H2 vs air. Ref [20]. Ferrite number 4.7.</t>
        </is>
      </c>
      <c r="AE53" s="6">
        <f>IF(AND($U53="reduction of area",$H53="no"),$Y53,"")</f>
        <v/>
      </c>
      <c r="AF53" s="6">
        <f>IF(AND($U53="reduction of area",$H53="yes"),$Y53,"")</f>
        <v/>
      </c>
    </row>
    <row r="54">
      <c r="A54" s="5" t="inlineStr">
        <is>
          <t>SAND2012-ch2101-T432-FN85</t>
        </is>
      </c>
      <c r="B54" s="5" t="inlineStr">
        <is>
          <t>S2</t>
        </is>
      </c>
      <c r="C54" s="5" t="inlineStr">
        <is>
          <t>San Marchi 2012</t>
        </is>
      </c>
      <c r="D54" s="5" t="inlineStr">
        <is>
          <t>304L/308L weld</t>
        </is>
      </c>
      <c r="E54" s="5" t="n"/>
      <c r="F54" s="5" t="inlineStr">
        <is>
          <t>300-series (304 type)</t>
        </is>
      </c>
      <c r="G54" s="5" t="inlineStr">
        <is>
          <t>weld</t>
        </is>
      </c>
      <c r="H54" s="5" t="inlineStr">
        <is>
          <t>yes</t>
        </is>
      </c>
      <c r="I54" s="5" t="inlineStr">
        <is>
          <t>whole joint</t>
        </is>
      </c>
      <c r="J54" s="5" t="inlineStr">
        <is>
          <t>GTAW</t>
        </is>
      </c>
      <c r="K54" s="5" t="inlineStr">
        <is>
          <t>ER308L</t>
        </is>
      </c>
      <c r="L54" s="5" t="n">
        <v>8.5</v>
      </c>
      <c r="M54" s="5" t="inlineStr">
        <is>
          <t>gaseous in-situ</t>
        </is>
      </c>
      <c r="N54" s="5" t="n">
        <v>69</v>
      </c>
      <c r="O54" s="5" t="n"/>
      <c r="P54" s="5" t="n"/>
      <c r="Q54" s="5" t="n">
        <v>295</v>
      </c>
      <c r="R54" s="5" t="n">
        <v>21.9</v>
      </c>
      <c r="S54" s="5" t="n"/>
      <c r="T54" s="5" t="inlineStr">
        <is>
          <t>tensile</t>
        </is>
      </c>
      <c r="U54" s="5" t="inlineStr">
        <is>
          <t>reduction of area</t>
        </is>
      </c>
      <c r="V54" s="5" t="inlineStr">
        <is>
          <t>air</t>
        </is>
      </c>
      <c r="W54" s="5" t="n">
        <v>40</v>
      </c>
      <c r="X54" s="5" t="n">
        <v>17</v>
      </c>
      <c r="Y54" s="5" t="n">
        <v>0.425</v>
      </c>
      <c r="Z54" s="5" t="inlineStr">
        <is>
          <t>significant loss</t>
        </is>
      </c>
      <c r="AA54" s="5" t="n"/>
      <c r="AB54" s="5" t="inlineStr">
        <is>
          <t>relative_ratio</t>
        </is>
      </c>
      <c r="AC54" s="5" t="inlineStr">
        <is>
          <t>no</t>
        </is>
      </c>
      <c r="AD54" s="5" t="inlineStr">
        <is>
          <t>SAND2012-7321 chapter 2101 Table 4.3.2. Notched (V-notch, 45 deg, 3.95 mm min dia, 1.3 mm root radius) composite GTA weld, external 69 MPa H2 vs air. Ref [20]. Ferrite number 8.5.</t>
        </is>
      </c>
      <c r="AE54" s="6">
        <f>IF(AND($U54="reduction of area",$H54="no"),$Y54,"")</f>
        <v/>
      </c>
      <c r="AF54" s="6">
        <f>IF(AND($U54="reduction of area",$H54="yes"),$Y54,"")</f>
        <v/>
      </c>
    </row>
    <row r="55">
      <c r="A55" s="5" t="inlineStr">
        <is>
          <t>SAND2012-ch2101-T3111-6</t>
        </is>
      </c>
      <c r="B55" s="5" t="inlineStr">
        <is>
          <t>S2</t>
        </is>
      </c>
      <c r="C55" s="5" t="inlineStr">
        <is>
          <t>San Marchi 2012</t>
        </is>
      </c>
      <c r="D55" s="5" t="inlineStr">
        <is>
          <t>304LN</t>
        </is>
      </c>
      <c r="E55" s="5" t="inlineStr">
        <is>
          <t>O76N</t>
        </is>
      </c>
      <c r="F55" s="5" t="inlineStr">
        <is>
          <t>300-series (304 type)</t>
        </is>
      </c>
      <c r="G55" s="5" t="inlineStr">
        <is>
          <t>plate</t>
        </is>
      </c>
      <c r="H55" s="5" t="inlineStr">
        <is>
          <t>no</t>
        </is>
      </c>
      <c r="I55" s="5" t="inlineStr">
        <is>
          <t>base metal</t>
        </is>
      </c>
      <c r="J55" s="5" t="n"/>
      <c r="K55" s="5" t="n"/>
      <c r="L55" s="5" t="n"/>
      <c r="M55" s="5" t="inlineStr">
        <is>
          <t>gaseous precharge</t>
        </is>
      </c>
      <c r="N55" s="5" t="n">
        <v>69</v>
      </c>
      <c r="O55" s="5" t="n">
        <v>55</v>
      </c>
      <c r="P55" s="5" t="n">
        <v>240</v>
      </c>
      <c r="Q55" s="5" t="n">
        <v>295</v>
      </c>
      <c r="R55" s="5" t="n">
        <v>21.9</v>
      </c>
      <c r="S55" s="5" t="n">
        <v>0.003</v>
      </c>
      <c r="T55" s="5" t="inlineStr">
        <is>
          <t>tensile</t>
        </is>
      </c>
      <c r="U55" s="5" t="inlineStr">
        <is>
          <t>reduction of area</t>
        </is>
      </c>
      <c r="V55" s="5" t="inlineStr">
        <is>
          <t>air</t>
        </is>
      </c>
      <c r="W55" s="5" t="n">
        <v>72</v>
      </c>
      <c r="X55" s="5" t="n">
        <v>54</v>
      </c>
      <c r="Y55" s="5" t="n">
        <v>0.75</v>
      </c>
      <c r="Z55" s="5" t="inlineStr">
        <is>
          <t>significant loss</t>
        </is>
      </c>
      <c r="AA55" s="5" t="n"/>
      <c r="AB55" s="5" t="inlineStr">
        <is>
          <t>relative_ratio</t>
        </is>
      </c>
      <c r="AC55" s="5" t="inlineStr">
        <is>
          <t>no</t>
        </is>
      </c>
      <c r="AD55" s="5" t="inlineStr">
        <is>
          <t>SAND2012-7321 (San Marchi &amp; Somerday), chapter 2101 Table 3.1.1.1. Nitrogen-bearing 304LN, annealed plate. Ref [5].</t>
        </is>
      </c>
      <c r="AE55" s="6">
        <f>IF(AND($U55="reduction of area",$H55="no"),$Y55,"")</f>
        <v/>
      </c>
      <c r="AF55" s="6">
        <f>IF(AND($U55="reduction of area",$H55="yes"),$Y55,"")</f>
        <v/>
      </c>
    </row>
    <row r="56">
      <c r="A56" s="5" t="inlineStr">
        <is>
          <t>SAND2012-ch2101-T3111-7</t>
        </is>
      </c>
      <c r="B56" s="5" t="inlineStr">
        <is>
          <t>S2</t>
        </is>
      </c>
      <c r="C56" s="5" t="inlineStr">
        <is>
          <t>San Marchi 2012</t>
        </is>
      </c>
      <c r="D56" s="5" t="inlineStr">
        <is>
          <t>304N</t>
        </is>
      </c>
      <c r="E56" s="5" t="n"/>
      <c r="F56" s="5" t="inlineStr">
        <is>
          <t>300-series (304 type)</t>
        </is>
      </c>
      <c r="G56" s="5" t="inlineStr">
        <is>
          <t>unknown</t>
        </is>
      </c>
      <c r="H56" s="5" t="inlineStr">
        <is>
          <t>no</t>
        </is>
      </c>
      <c r="I56" s="5" t="inlineStr">
        <is>
          <t>base metal</t>
        </is>
      </c>
      <c r="J56" s="5" t="n"/>
      <c r="K56" s="5" t="n"/>
      <c r="L56" s="5" t="n"/>
      <c r="M56" s="5" t="inlineStr">
        <is>
          <t>gaseous in-situ</t>
        </is>
      </c>
      <c r="N56" s="5" t="n">
        <v>69</v>
      </c>
      <c r="O56" s="5" t="n"/>
      <c r="P56" s="5" t="n"/>
      <c r="Q56" s="5" t="n">
        <v>295</v>
      </c>
      <c r="R56" s="5" t="n">
        <v>21.9</v>
      </c>
      <c r="S56" s="5" t="n"/>
      <c r="T56" s="5" t="inlineStr">
        <is>
          <t>tensile</t>
        </is>
      </c>
      <c r="U56" s="5" t="inlineStr">
        <is>
          <t>reduction of area</t>
        </is>
      </c>
      <c r="V56" s="5" t="inlineStr">
        <is>
          <t>helium</t>
        </is>
      </c>
      <c r="W56" s="5" t="n">
        <v>74</v>
      </c>
      <c r="X56" s="5" t="n">
        <v>54</v>
      </c>
      <c r="Y56" s="5" t="n">
        <v>0.73</v>
      </c>
      <c r="Z56" s="5" t="inlineStr">
        <is>
          <t>significant loss</t>
        </is>
      </c>
      <c r="AA56" s="5" t="n"/>
      <c r="AB56" s="5" t="inlineStr">
        <is>
          <t>relative_ratio</t>
        </is>
      </c>
      <c r="AC56" s="5" t="inlineStr">
        <is>
          <t>no</t>
        </is>
      </c>
      <c r="AD56" s="5" t="inlineStr">
        <is>
          <t>SAND2012-7321 (San Marchi &amp; Somerday), chapter 2101 Table 3.1.1.1. Ref [25].</t>
        </is>
      </c>
      <c r="AE56" s="6">
        <f>IF(AND($U56="reduction of area",$H56="no"),$Y56,"")</f>
        <v/>
      </c>
      <c r="AF56" s="6">
        <f>IF(AND($U56="reduction of area",$H56="yes"),$Y56,"")</f>
        <v/>
      </c>
    </row>
    <row r="57">
      <c r="A57" s="5" t="inlineStr">
        <is>
          <t>SAND2012-ch2101-T3111-8</t>
        </is>
      </c>
      <c r="B57" s="5" t="inlineStr">
        <is>
          <t>S2</t>
        </is>
      </c>
      <c r="C57" s="5" t="inlineStr">
        <is>
          <t>San Marchi 2012</t>
        </is>
      </c>
      <c r="D57" s="5" t="inlineStr">
        <is>
          <t>304N</t>
        </is>
      </c>
      <c r="E57" s="5" t="inlineStr">
        <is>
          <t>C83N</t>
        </is>
      </c>
      <c r="F57" s="5" t="inlineStr">
        <is>
          <t>300-series (304 type)</t>
        </is>
      </c>
      <c r="G57" s="5" t="inlineStr">
        <is>
          <t>unknown</t>
        </is>
      </c>
      <c r="H57" s="5" t="inlineStr">
        <is>
          <t>no</t>
        </is>
      </c>
      <c r="I57" s="5" t="inlineStr">
        <is>
          <t>base metal</t>
        </is>
      </c>
      <c r="J57" s="5" t="n"/>
      <c r="K57" s="5" t="n"/>
      <c r="L57" s="5" t="n"/>
      <c r="M57" s="5" t="inlineStr">
        <is>
          <t>gaseous precharge</t>
        </is>
      </c>
      <c r="N57" s="5" t="n">
        <v>69</v>
      </c>
      <c r="O57" s="5" t="n"/>
      <c r="P57" s="5" t="n">
        <v>1000</v>
      </c>
      <c r="Q57" s="5" t="n">
        <v>295</v>
      </c>
      <c r="R57" s="5" t="n">
        <v>21.9</v>
      </c>
      <c r="S57" s="5" t="n"/>
      <c r="T57" s="5" t="inlineStr">
        <is>
          <t>tensile</t>
        </is>
      </c>
      <c r="U57" s="5" t="inlineStr">
        <is>
          <t>reduction of area</t>
        </is>
      </c>
      <c r="V57" s="5" t="inlineStr">
        <is>
          <t>air</t>
        </is>
      </c>
      <c r="W57" s="5" t="n">
        <v>65</v>
      </c>
      <c r="X57" s="5" t="n">
        <v>46</v>
      </c>
      <c r="Y57" s="5" t="n">
        <v>0.708</v>
      </c>
      <c r="Z57" s="5" t="inlineStr">
        <is>
          <t>significant loss</t>
        </is>
      </c>
      <c r="AA57" s="5" t="n"/>
      <c r="AB57" s="5" t="inlineStr">
        <is>
          <t>relative_ratio</t>
        </is>
      </c>
      <c r="AC57" s="5" t="inlineStr">
        <is>
          <t>no</t>
        </is>
      </c>
      <c r="AD57" s="5" t="inlineStr">
        <is>
          <t>SAND2012-7321 (San Marchi &amp; Somerday), chapter 2101 Table 3.1.1.1. Precharged 69 MPa H2, 430 K, 1000 h. Ref [3].</t>
        </is>
      </c>
      <c r="AE57" s="6">
        <f>IF(AND($U57="reduction of area",$H57="no"),$Y57,"")</f>
        <v/>
      </c>
      <c r="AF57" s="6">
        <f>IF(AND($U57="reduction of area",$H57="yes"),$Y57,"")</f>
        <v/>
      </c>
    </row>
    <row r="58">
      <c r="A58" s="5" t="inlineStr">
        <is>
          <t>SAND2012-ch2103-1</t>
        </is>
      </c>
      <c r="B58" s="5" t="inlineStr">
        <is>
          <t>S2</t>
        </is>
      </c>
      <c r="C58" s="5" t="inlineStr">
        <is>
          <t>San Marchi 2012</t>
        </is>
      </c>
      <c r="D58" s="5" t="inlineStr">
        <is>
          <t>316</t>
        </is>
      </c>
      <c r="E58" s="5" t="n"/>
      <c r="F58" s="5" t="inlineStr">
        <is>
          <t>300-series (316/317 type)</t>
        </is>
      </c>
      <c r="G58" s="5" t="inlineStr">
        <is>
          <t>unknown</t>
        </is>
      </c>
      <c r="H58" s="5" t="inlineStr">
        <is>
          <t>no</t>
        </is>
      </c>
      <c r="I58" s="5" t="inlineStr">
        <is>
          <t>base metal</t>
        </is>
      </c>
      <c r="J58" s="5" t="n"/>
      <c r="K58" s="5" t="n"/>
      <c r="L58" s="5" t="n"/>
      <c r="M58" s="5" t="inlineStr">
        <is>
          <t>gaseous in-situ</t>
        </is>
      </c>
      <c r="N58" s="5" t="n">
        <v>69</v>
      </c>
      <c r="O58" s="5" t="n"/>
      <c r="P58" s="5" t="n"/>
      <c r="Q58" s="5" t="n">
        <v>295</v>
      </c>
      <c r="R58" s="5" t="n">
        <v>21.9</v>
      </c>
      <c r="S58" s="5" t="n"/>
      <c r="T58" s="5" t="inlineStr">
        <is>
          <t>tensile</t>
        </is>
      </c>
      <c r="U58" s="5" t="inlineStr">
        <is>
          <t>reduction of area</t>
        </is>
      </c>
      <c r="V58" s="5" t="inlineStr">
        <is>
          <t>helium</t>
        </is>
      </c>
      <c r="W58" s="5" t="n">
        <v>78</v>
      </c>
      <c r="X58" s="5" t="n">
        <v>77</v>
      </c>
      <c r="Y58" s="5" t="n">
        <v>0.987</v>
      </c>
      <c r="Z58" s="5" t="inlineStr">
        <is>
          <t>no measurable loss</t>
        </is>
      </c>
      <c r="AA58" s="5" t="n"/>
      <c r="AB58" s="5" t="inlineStr">
        <is>
          <t>relative_ratio</t>
        </is>
      </c>
      <c r="AC58" s="5" t="inlineStr">
        <is>
          <t>no</t>
        </is>
      </c>
      <c r="AD58" s="5" t="inlineStr">
        <is>
          <t>SAND2012-7321 chapter 2103 Table 3.1.1.1. Ref [1,27].</t>
        </is>
      </c>
      <c r="AE58" s="6">
        <f>IF(AND($U58="reduction of area",$H58="no"),$Y58,"")</f>
        <v/>
      </c>
      <c r="AF58" s="6">
        <f>IF(AND($U58="reduction of area",$H58="yes"),$Y58,"")</f>
        <v/>
      </c>
    </row>
    <row r="59">
      <c r="A59" s="5" t="inlineStr">
        <is>
          <t>SAND2012-ch2103-2</t>
        </is>
      </c>
      <c r="B59" s="5" t="inlineStr">
        <is>
          <t>S2</t>
        </is>
      </c>
      <c r="C59" s="5" t="inlineStr">
        <is>
          <t>San Marchi 2012</t>
        </is>
      </c>
      <c r="D59" s="5" t="inlineStr">
        <is>
          <t>316</t>
        </is>
      </c>
      <c r="E59" s="5" t="inlineStr">
        <is>
          <t>W69</t>
        </is>
      </c>
      <c r="F59" s="5" t="inlineStr">
        <is>
          <t>300-series (316/317 type)</t>
        </is>
      </c>
      <c r="G59" s="5" t="inlineStr">
        <is>
          <t>bar</t>
        </is>
      </c>
      <c r="H59" s="5" t="inlineStr">
        <is>
          <t>no</t>
        </is>
      </c>
      <c r="I59" s="5" t="inlineStr">
        <is>
          <t>base metal</t>
        </is>
      </c>
      <c r="J59" s="5" t="n"/>
      <c r="K59" s="5" t="n"/>
      <c r="L59" s="5" t="n"/>
      <c r="M59" s="5" t="inlineStr">
        <is>
          <t>gaseous in-situ</t>
        </is>
      </c>
      <c r="N59" s="5" t="n">
        <v>69</v>
      </c>
      <c r="O59" s="5" t="n"/>
      <c r="P59" s="5" t="n"/>
      <c r="Q59" s="5" t="n">
        <v>295</v>
      </c>
      <c r="R59" s="5" t="n">
        <v>21.9</v>
      </c>
      <c r="S59" s="5" t="n">
        <v>0.00067</v>
      </c>
      <c r="T59" s="5" t="inlineStr">
        <is>
          <t>tensile</t>
        </is>
      </c>
      <c r="U59" s="5" t="inlineStr">
        <is>
          <t>reduction of area</t>
        </is>
      </c>
      <c r="V59" s="5" t="inlineStr">
        <is>
          <t>helium</t>
        </is>
      </c>
      <c r="W59" s="5" t="n">
        <v>72</v>
      </c>
      <c r="X59" s="5" t="n">
        <v>75</v>
      </c>
      <c r="Y59" s="5" t="n">
        <v>1.042</v>
      </c>
      <c r="Z59" s="5" t="inlineStr">
        <is>
          <t>no measurable loss</t>
        </is>
      </c>
      <c r="AA59" s="5" t="n"/>
      <c r="AB59" s="5" t="inlineStr">
        <is>
          <t>relative_ratio</t>
        </is>
      </c>
      <c r="AC59" s="5" t="inlineStr">
        <is>
          <t>no</t>
        </is>
      </c>
      <c r="AD59" s="5" t="inlineStr">
        <is>
          <t>SAND2012-7321 chapter 2103 Table 3.1.1.1. Cold drawn rod; no loss. Ref [26,28].</t>
        </is>
      </c>
      <c r="AE59" s="6">
        <f>IF(AND($U59="reduction of area",$H59="no"),$Y59,"")</f>
        <v/>
      </c>
      <c r="AF59" s="6">
        <f>IF(AND($U59="reduction of area",$H59="yes"),$Y59,"")</f>
        <v/>
      </c>
    </row>
    <row r="60">
      <c r="A60" s="5" t="inlineStr">
        <is>
          <t>SAND2012-ch2103-3</t>
        </is>
      </c>
      <c r="B60" s="5" t="inlineStr">
        <is>
          <t>S2</t>
        </is>
      </c>
      <c r="C60" s="5" t="inlineStr">
        <is>
          <t>San Marchi 2012</t>
        </is>
      </c>
      <c r="D60" s="5" t="inlineStr">
        <is>
          <t>316</t>
        </is>
      </c>
      <c r="E60" s="5" t="inlineStr">
        <is>
          <t>O76</t>
        </is>
      </c>
      <c r="F60" s="5" t="inlineStr">
        <is>
          <t>300-series (316/317 type)</t>
        </is>
      </c>
      <c r="G60" s="5" t="inlineStr">
        <is>
          <t>plate</t>
        </is>
      </c>
      <c r="H60" s="5" t="inlineStr">
        <is>
          <t>no</t>
        </is>
      </c>
      <c r="I60" s="5" t="inlineStr">
        <is>
          <t>base metal</t>
        </is>
      </c>
      <c r="J60" s="5" t="n"/>
      <c r="K60" s="5" t="n"/>
      <c r="L60" s="5" t="n"/>
      <c r="M60" s="5" t="inlineStr">
        <is>
          <t>gaseous in-situ</t>
        </is>
      </c>
      <c r="N60" s="5" t="n">
        <v>69</v>
      </c>
      <c r="O60" s="5" t="n"/>
      <c r="P60" s="5" t="n"/>
      <c r="Q60" s="5" t="n">
        <v>295</v>
      </c>
      <c r="R60" s="5" t="n">
        <v>21.9</v>
      </c>
      <c r="S60" s="5" t="n">
        <v>0.003</v>
      </c>
      <c r="T60" s="5" t="inlineStr">
        <is>
          <t>tensile</t>
        </is>
      </c>
      <c r="U60" s="5" t="inlineStr">
        <is>
          <t>reduction of area</t>
        </is>
      </c>
      <c r="V60" s="5" t="inlineStr">
        <is>
          <t>air</t>
        </is>
      </c>
      <c r="W60" s="5" t="n">
        <v>78</v>
      </c>
      <c r="X60" s="5" t="n">
        <v>77</v>
      </c>
      <c r="Y60" s="5" t="n">
        <v>0.987</v>
      </c>
      <c r="Z60" s="5" t="inlineStr">
        <is>
          <t>no measurable loss</t>
        </is>
      </c>
      <c r="AA60" s="5" t="n"/>
      <c r="AB60" s="5" t="inlineStr">
        <is>
          <t>relative_ratio</t>
        </is>
      </c>
      <c r="AC60" s="5" t="inlineStr">
        <is>
          <t>no</t>
        </is>
      </c>
      <c r="AD60" s="5" t="inlineStr">
        <is>
          <t>SAND2012-7321 chapter 2103 Table 3.1.1.1. Annealed plate. Ref [2].</t>
        </is>
      </c>
      <c r="AE60" s="6">
        <f>IF(AND($U60="reduction of area",$H60="no"),$Y60,"")</f>
        <v/>
      </c>
      <c r="AF60" s="6">
        <f>IF(AND($U60="reduction of area",$H60="yes"),$Y60,"")</f>
        <v/>
      </c>
    </row>
    <row r="61">
      <c r="A61" s="5" t="inlineStr">
        <is>
          <t>SAND2012-ch2103-4</t>
        </is>
      </c>
      <c r="B61" s="5" t="inlineStr">
        <is>
          <t>S2</t>
        </is>
      </c>
      <c r="C61" s="5" t="inlineStr">
        <is>
          <t>San Marchi 2012</t>
        </is>
      </c>
      <c r="D61" s="5" t="inlineStr">
        <is>
          <t>316</t>
        </is>
      </c>
      <c r="E61" s="5" t="n"/>
      <c r="F61" s="5" t="inlineStr">
        <is>
          <t>300-series (316/317 type)</t>
        </is>
      </c>
      <c r="G61" s="5" t="inlineStr">
        <is>
          <t>sheet</t>
        </is>
      </c>
      <c r="H61" s="5" t="inlineStr">
        <is>
          <t>no</t>
        </is>
      </c>
      <c r="I61" s="5" t="inlineStr">
        <is>
          <t>base metal</t>
        </is>
      </c>
      <c r="J61" s="5" t="n"/>
      <c r="K61" s="5" t="n"/>
      <c r="L61" s="5" t="n"/>
      <c r="M61" s="5" t="inlineStr">
        <is>
          <t>gaseous in-situ</t>
        </is>
      </c>
      <c r="N61" s="5" t="n">
        <v>70</v>
      </c>
      <c r="O61" s="5" t="n"/>
      <c r="P61" s="5" t="n"/>
      <c r="Q61" s="5" t="n">
        <v>295</v>
      </c>
      <c r="R61" s="5" t="n">
        <v>21.9</v>
      </c>
      <c r="S61" s="5" t="n">
        <v>0.0005999999999999999</v>
      </c>
      <c r="T61" s="5" t="inlineStr">
        <is>
          <t>tensile</t>
        </is>
      </c>
      <c r="U61" s="5" t="inlineStr">
        <is>
          <t>reduction of area</t>
        </is>
      </c>
      <c r="V61" s="5" t="inlineStr">
        <is>
          <t>helium</t>
        </is>
      </c>
      <c r="W61" s="5" t="n">
        <v>70</v>
      </c>
      <c r="X61" s="5" t="n">
        <v>75</v>
      </c>
      <c r="Y61" s="5" t="n">
        <v>1.071</v>
      </c>
      <c r="Z61" s="5" t="inlineStr">
        <is>
          <t>no measurable loss</t>
        </is>
      </c>
      <c r="AA61" s="5" t="n"/>
      <c r="AB61" s="5" t="inlineStr">
        <is>
          <t>relative_ratio</t>
        </is>
      </c>
      <c r="AC61" s="5" t="inlineStr">
        <is>
          <t>no</t>
        </is>
      </c>
      <c r="AD61" s="5" t="inlineStr">
        <is>
          <t>SAND2012-7321 chapter 2103 Table 3.1.1.1. Annealed sheet; He reference. Ref [23].</t>
        </is>
      </c>
      <c r="AE61" s="6">
        <f>IF(AND($U61="reduction of area",$H61="no"),$Y61,"")</f>
        <v/>
      </c>
      <c r="AF61" s="6">
        <f>IF(AND($U61="reduction of area",$H61="yes"),$Y61,"")</f>
        <v/>
      </c>
    </row>
    <row r="62">
      <c r="A62" s="5" t="inlineStr">
        <is>
          <t>SAND2012-ch2103-5</t>
        </is>
      </c>
      <c r="B62" s="5" t="inlineStr">
        <is>
          <t>S2</t>
        </is>
      </c>
      <c r="C62" s="5" t="inlineStr">
        <is>
          <t>San Marchi 2012</t>
        </is>
      </c>
      <c r="D62" s="5" t="inlineStr">
        <is>
          <t>316</t>
        </is>
      </c>
      <c r="E62" s="5" t="inlineStr">
        <is>
          <t>R84</t>
        </is>
      </c>
      <c r="F62" s="5" t="inlineStr">
        <is>
          <t>300-series (316/317 type)</t>
        </is>
      </c>
      <c r="G62" s="5" t="inlineStr">
        <is>
          <t>sheet</t>
        </is>
      </c>
      <c r="H62" s="5" t="inlineStr">
        <is>
          <t>no</t>
        </is>
      </c>
      <c r="I62" s="5" t="inlineStr">
        <is>
          <t>base metal</t>
        </is>
      </c>
      <c r="J62" s="5" t="n"/>
      <c r="K62" s="5" t="n"/>
      <c r="L62" s="5" t="n"/>
      <c r="M62" s="5" t="inlineStr">
        <is>
          <t>gaseous precharge</t>
        </is>
      </c>
      <c r="N62" s="5" t="n">
        <v>0.5</v>
      </c>
      <c r="O62" s="5" t="n">
        <v>6</v>
      </c>
      <c r="P62" s="5" t="n">
        <v>170</v>
      </c>
      <c r="Q62" s="5" t="n">
        <v>295</v>
      </c>
      <c r="R62" s="5" t="n">
        <v>21.9</v>
      </c>
      <c r="S62" s="5" t="n">
        <v>0.0005</v>
      </c>
      <c r="T62" s="5" t="inlineStr">
        <is>
          <t>tensile</t>
        </is>
      </c>
      <c r="U62" s="5" t="inlineStr">
        <is>
          <t>elongation</t>
        </is>
      </c>
      <c r="V62" s="5" t="inlineStr">
        <is>
          <t>argon</t>
        </is>
      </c>
      <c r="W62" s="5" t="n">
        <v>63</v>
      </c>
      <c r="X62" s="5" t="n">
        <v>51</v>
      </c>
      <c r="Y62" s="5" t="n">
        <v>0.8100000000000001</v>
      </c>
      <c r="Z62" s="5" t="inlineStr">
        <is>
          <t>moderate loss</t>
        </is>
      </c>
      <c r="AA62" s="5" t="n"/>
      <c r="AB62" s="5" t="inlineStr">
        <is>
          <t>relative_ratio</t>
        </is>
      </c>
      <c r="AC62" s="5" t="inlineStr">
        <is>
          <t>no</t>
        </is>
      </c>
      <c r="AD62" s="5" t="inlineStr">
        <is>
          <t>SAND2012-7321 chapter 2103 Table 3.1.1.1. Sensitized thin sheet; precharged 0.5 MPa H2 873 K 170 h (~6 wppm), argon-exposed reference. Ref [14].</t>
        </is>
      </c>
      <c r="AE62" s="6">
        <f>IF(AND($U62="reduction of area",$H62="no"),$Y62,"")</f>
        <v/>
      </c>
      <c r="AF62" s="6">
        <f>IF(AND($U62="reduction of area",$H62="yes"),$Y62,"")</f>
        <v/>
      </c>
    </row>
    <row r="63">
      <c r="A63" s="5" t="inlineStr">
        <is>
          <t>SAND2012-ch2103-W-EB</t>
        </is>
      </c>
      <c r="B63" s="5" t="inlineStr">
        <is>
          <t>S2</t>
        </is>
      </c>
      <c r="C63" s="5" t="inlineStr">
        <is>
          <t>San Marchi 2012</t>
        </is>
      </c>
      <c r="D63" s="5" t="inlineStr">
        <is>
          <t>316 EB weld</t>
        </is>
      </c>
      <c r="E63" s="5" t="n"/>
      <c r="F63" s="5" t="inlineStr">
        <is>
          <t>300-series (316/317 type)</t>
        </is>
      </c>
      <c r="G63" s="5" t="inlineStr">
        <is>
          <t>weld</t>
        </is>
      </c>
      <c r="H63" s="5" t="inlineStr">
        <is>
          <t>yes</t>
        </is>
      </c>
      <c r="I63" s="5" t="inlineStr">
        <is>
          <t>whole joint</t>
        </is>
      </c>
      <c r="J63" s="5" t="inlineStr">
        <is>
          <t>laser</t>
        </is>
      </c>
      <c r="K63" s="5" t="n"/>
      <c r="L63" s="5" t="n"/>
      <c r="M63" s="5" t="inlineStr">
        <is>
          <t>gaseous in-situ</t>
        </is>
      </c>
      <c r="N63" s="5" t="n">
        <v>70</v>
      </c>
      <c r="O63" s="5" t="n"/>
      <c r="P63" s="5" t="n"/>
      <c r="Q63" s="5" t="n">
        <v>295</v>
      </c>
      <c r="R63" s="5" t="n">
        <v>21.9</v>
      </c>
      <c r="S63" s="5" t="n">
        <v>0.0005999999999999999</v>
      </c>
      <c r="T63" s="5" t="inlineStr">
        <is>
          <t>tensile</t>
        </is>
      </c>
      <c r="U63" s="5" t="inlineStr">
        <is>
          <t>reduction of area</t>
        </is>
      </c>
      <c r="V63" s="5" t="inlineStr">
        <is>
          <t>helium</t>
        </is>
      </c>
      <c r="W63" s="5" t="n">
        <v>70</v>
      </c>
      <c r="X63" s="5" t="n">
        <v>70</v>
      </c>
      <c r="Y63" s="5" t="n">
        <v>1</v>
      </c>
      <c r="Z63" s="5" t="inlineStr">
        <is>
          <t>no measurable loss</t>
        </is>
      </c>
      <c r="AA63" s="5" t="n"/>
      <c r="AB63" s="5" t="inlineStr">
        <is>
          <t>relative_ratio</t>
        </is>
      </c>
      <c r="AC63" s="5" t="inlineStr">
        <is>
          <t>no</t>
        </is>
      </c>
      <c r="AD63" s="5" t="inlineStr">
        <is>
          <t>SAND2012-7321 chapter 2103 Table 4.3.1 (full-penetration butt welds, sheet). Ref [23]. Electron beam weld; no measurable loss.</t>
        </is>
      </c>
      <c r="AE63" s="6">
        <f>IF(AND($U63="reduction of area",$H63="no"),$Y63,"")</f>
        <v/>
      </c>
      <c r="AF63" s="6">
        <f>IF(AND($U63="reduction of area",$H63="yes"),$Y63,"")</f>
        <v/>
      </c>
    </row>
    <row r="64">
      <c r="A64" s="5" t="inlineStr">
        <is>
          <t>SAND2012-ch2103-WN-EB</t>
        </is>
      </c>
      <c r="B64" s="5" t="inlineStr">
        <is>
          <t>S2</t>
        </is>
      </c>
      <c r="C64" s="5" t="inlineStr">
        <is>
          <t>San Marchi 2012</t>
        </is>
      </c>
      <c r="D64" s="5" t="inlineStr">
        <is>
          <t>316 EB weld</t>
        </is>
      </c>
      <c r="E64" s="5" t="n"/>
      <c r="F64" s="5" t="inlineStr">
        <is>
          <t>300-series (316/317 type)</t>
        </is>
      </c>
      <c r="G64" s="5" t="inlineStr">
        <is>
          <t>weld</t>
        </is>
      </c>
      <c r="H64" s="5" t="inlineStr">
        <is>
          <t>yes</t>
        </is>
      </c>
      <c r="I64" s="5" t="inlineStr">
        <is>
          <t>whole joint</t>
        </is>
      </c>
      <c r="J64" s="5" t="inlineStr">
        <is>
          <t>laser</t>
        </is>
      </c>
      <c r="K64" s="5" t="n"/>
      <c r="L64" s="5" t="n"/>
      <c r="M64" s="5" t="inlineStr">
        <is>
          <t>gaseous in-situ</t>
        </is>
      </c>
      <c r="N64" s="5" t="n">
        <v>70</v>
      </c>
      <c r="O64" s="5" t="n"/>
      <c r="P64" s="5" t="n"/>
      <c r="Q64" s="5" t="n">
        <v>295</v>
      </c>
      <c r="R64" s="5" t="n">
        <v>21.9</v>
      </c>
      <c r="S64" s="5" t="n">
        <v>0.0083</v>
      </c>
      <c r="T64" s="5" t="inlineStr">
        <is>
          <t>tensile</t>
        </is>
      </c>
      <c r="U64" s="5" t="inlineStr">
        <is>
          <t>reduction of area</t>
        </is>
      </c>
      <c r="V64" s="5" t="inlineStr">
        <is>
          <t>helium</t>
        </is>
      </c>
      <c r="W64" s="5" t="n">
        <v>65</v>
      </c>
      <c r="X64" s="5" t="n">
        <v>60</v>
      </c>
      <c r="Y64" s="5" t="n">
        <v>0.923</v>
      </c>
      <c r="Z64" s="5" t="inlineStr">
        <is>
          <t>moderate loss</t>
        </is>
      </c>
      <c r="AA64" s="5" t="n"/>
      <c r="AB64" s="5" t="inlineStr">
        <is>
          <t>relative_ratio</t>
        </is>
      </c>
      <c r="AC64" s="5" t="inlineStr">
        <is>
          <t>no</t>
        </is>
      </c>
      <c r="AD64" s="5" t="inlineStr">
        <is>
          <t>SAND2012-7321 chapter 2103 Table 4.3.2, notched (V-notch 60 deg, 0.6 mm deep, root radius 0.05 mm) butt welds. Ref [23]. Electron beam weld, notched.</t>
        </is>
      </c>
      <c r="AE64" s="6">
        <f>IF(AND($U64="reduction of area",$H64="no"),$Y64,"")</f>
        <v/>
      </c>
      <c r="AF64" s="6">
        <f>IF(AND($U64="reduction of area",$H64="yes"),$Y64,"")</f>
        <v/>
      </c>
    </row>
    <row r="65">
      <c r="A65" s="5" t="inlineStr">
        <is>
          <t>SAND2012-ch2103-W-GTA</t>
        </is>
      </c>
      <c r="B65" s="5" t="inlineStr">
        <is>
          <t>S2</t>
        </is>
      </c>
      <c r="C65" s="5" t="inlineStr">
        <is>
          <t>San Marchi 2012</t>
        </is>
      </c>
      <c r="D65" s="5" t="inlineStr">
        <is>
          <t>316 GTA weld</t>
        </is>
      </c>
      <c r="E65" s="5" t="n"/>
      <c r="F65" s="5" t="inlineStr">
        <is>
          <t>300-series (316/317 type)</t>
        </is>
      </c>
      <c r="G65" s="5" t="inlineStr">
        <is>
          <t>weld</t>
        </is>
      </c>
      <c r="H65" s="5" t="inlineStr">
        <is>
          <t>yes</t>
        </is>
      </c>
      <c r="I65" s="5" t="inlineStr">
        <is>
          <t>whole joint</t>
        </is>
      </c>
      <c r="J65" s="5" t="inlineStr">
        <is>
          <t>GTAW</t>
        </is>
      </c>
      <c r="K65" s="5" t="n"/>
      <c r="L65" s="5" t="n"/>
      <c r="M65" s="5" t="inlineStr">
        <is>
          <t>gaseous in-situ</t>
        </is>
      </c>
      <c r="N65" s="5" t="n">
        <v>70</v>
      </c>
      <c r="O65" s="5" t="n"/>
      <c r="P65" s="5" t="n"/>
      <c r="Q65" s="5" t="n">
        <v>295</v>
      </c>
      <c r="R65" s="5" t="n">
        <v>21.9</v>
      </c>
      <c r="S65" s="5" t="n">
        <v>0.0005999999999999999</v>
      </c>
      <c r="T65" s="5" t="inlineStr">
        <is>
          <t>tensile</t>
        </is>
      </c>
      <c r="U65" s="5" t="inlineStr">
        <is>
          <t>reduction of area</t>
        </is>
      </c>
      <c r="V65" s="5" t="inlineStr">
        <is>
          <t>helium</t>
        </is>
      </c>
      <c r="W65" s="5" t="n">
        <v>70</v>
      </c>
      <c r="X65" s="5" t="n">
        <v>70</v>
      </c>
      <c r="Y65" s="5" t="n">
        <v>1</v>
      </c>
      <c r="Z65" s="5" t="inlineStr">
        <is>
          <t>no measurable loss</t>
        </is>
      </c>
      <c r="AA65" s="5" t="n"/>
      <c r="AB65" s="5" t="inlineStr">
        <is>
          <t>relative_ratio</t>
        </is>
      </c>
      <c r="AC65" s="5" t="inlineStr">
        <is>
          <t>no</t>
        </is>
      </c>
      <c r="AD65" s="5" t="inlineStr">
        <is>
          <t>SAND2012-7321 chapter 2103 Table 4.3.1 (full-penetration butt welds, sheet). Ref [23]. GTA weld; no measurable loss.</t>
        </is>
      </c>
      <c r="AE65" s="6">
        <f>IF(AND($U65="reduction of area",$H65="no"),$Y65,"")</f>
        <v/>
      </c>
      <c r="AF65" s="6">
        <f>IF(AND($U65="reduction of area",$H65="yes"),$Y65,"")</f>
        <v/>
      </c>
    </row>
    <row r="66">
      <c r="A66" s="5" t="inlineStr">
        <is>
          <t>SAND2012-ch2103-WN-GTA</t>
        </is>
      </c>
      <c r="B66" s="5" t="inlineStr">
        <is>
          <t>S2</t>
        </is>
      </c>
      <c r="C66" s="5" t="inlineStr">
        <is>
          <t>San Marchi 2012</t>
        </is>
      </c>
      <c r="D66" s="5" t="inlineStr">
        <is>
          <t>316 GTA weld</t>
        </is>
      </c>
      <c r="E66" s="5" t="n"/>
      <c r="F66" s="5" t="inlineStr">
        <is>
          <t>300-series (316/317 type)</t>
        </is>
      </c>
      <c r="G66" s="5" t="inlineStr">
        <is>
          <t>weld</t>
        </is>
      </c>
      <c r="H66" s="5" t="inlineStr">
        <is>
          <t>yes</t>
        </is>
      </c>
      <c r="I66" s="5" t="inlineStr">
        <is>
          <t>whole joint</t>
        </is>
      </c>
      <c r="J66" s="5" t="inlineStr">
        <is>
          <t>GTAW</t>
        </is>
      </c>
      <c r="K66" s="5" t="n"/>
      <c r="L66" s="5" t="n"/>
      <c r="M66" s="5" t="inlineStr">
        <is>
          <t>gaseous in-situ</t>
        </is>
      </c>
      <c r="N66" s="5" t="n">
        <v>70</v>
      </c>
      <c r="O66" s="5" t="n"/>
      <c r="P66" s="5" t="n"/>
      <c r="Q66" s="5" t="n">
        <v>295</v>
      </c>
      <c r="R66" s="5" t="n">
        <v>21.9</v>
      </c>
      <c r="S66" s="5" t="n">
        <v>0.0083</v>
      </c>
      <c r="T66" s="5" t="inlineStr">
        <is>
          <t>tensile</t>
        </is>
      </c>
      <c r="U66" s="5" t="inlineStr">
        <is>
          <t>reduction of area</t>
        </is>
      </c>
      <c r="V66" s="5" t="inlineStr">
        <is>
          <t>helium</t>
        </is>
      </c>
      <c r="W66" s="5" t="n">
        <v>70</v>
      </c>
      <c r="X66" s="5" t="n">
        <v>65</v>
      </c>
      <c r="Y66" s="5" t="n">
        <v>0.929</v>
      </c>
      <c r="Z66" s="5" t="inlineStr">
        <is>
          <t>moderate loss</t>
        </is>
      </c>
      <c r="AA66" s="5" t="n"/>
      <c r="AB66" s="5" t="inlineStr">
        <is>
          <t>relative_ratio</t>
        </is>
      </c>
      <c r="AC66" s="5" t="inlineStr">
        <is>
          <t>no</t>
        </is>
      </c>
      <c r="AD66" s="5" t="inlineStr">
        <is>
          <t>SAND2012-7321 chapter 2103 Table 4.3.2, notched (V-notch 60 deg, 0.6 mm deep, root radius 0.05 mm) butt welds. Ref [23]. GTA weld, notched.</t>
        </is>
      </c>
      <c r="AE66" s="6">
        <f>IF(AND($U66="reduction of area",$H66="no"),$Y66,"")</f>
        <v/>
      </c>
      <c r="AF66" s="6">
        <f>IF(AND($U66="reduction of area",$H66="yes"),$Y66,"")</f>
        <v/>
      </c>
    </row>
    <row r="67">
      <c r="A67" s="5" t="inlineStr">
        <is>
          <t>FUKU24-316CW-RA</t>
        </is>
      </c>
      <c r="B67" s="5" t="inlineStr">
        <is>
          <t>S8</t>
        </is>
      </c>
      <c r="C67" s="5" t="inlineStr">
        <is>
          <t>Fukunaga 2024</t>
        </is>
      </c>
      <c r="D67" s="5" t="inlineStr">
        <is>
          <t>316 cold worked (SUS316CW)</t>
        </is>
      </c>
      <c r="E67" s="5" t="n"/>
      <c r="F67" s="5" t="inlineStr">
        <is>
          <t>300-series (316/317 type)</t>
        </is>
      </c>
      <c r="G67" s="5" t="inlineStr">
        <is>
          <t>tube</t>
        </is>
      </c>
      <c r="H67" s="5" t="inlineStr">
        <is>
          <t>no</t>
        </is>
      </c>
      <c r="I67" s="5" t="inlineStr">
        <is>
          <t>base metal</t>
        </is>
      </c>
      <c r="J67" s="5" t="n"/>
      <c r="K67" s="5" t="n"/>
      <c r="L67" s="5" t="n"/>
      <c r="M67" s="5" t="inlineStr">
        <is>
          <t>gaseous in-situ</t>
        </is>
      </c>
      <c r="N67" s="5" t="n">
        <v>70</v>
      </c>
      <c r="O67" s="5" t="n">
        <v>7.8</v>
      </c>
      <c r="P67" s="5" t="n"/>
      <c r="Q67" s="5" t="n">
        <v>233</v>
      </c>
      <c r="R67" s="5" t="n">
        <v>-40.1</v>
      </c>
      <c r="S67" s="5" t="n"/>
      <c r="T67" s="5" t="inlineStr">
        <is>
          <t>SSRT</t>
        </is>
      </c>
      <c r="U67" s="5" t="inlineStr">
        <is>
          <t>reduction of area</t>
        </is>
      </c>
      <c r="V67" s="5" t="inlineStr">
        <is>
          <t>nitrogen</t>
        </is>
      </c>
      <c r="W67" s="5" t="n">
        <v>85</v>
      </c>
      <c r="X67" s="5" t="n">
        <v>78</v>
      </c>
      <c r="Y67" s="5" t="n">
        <v>0.918</v>
      </c>
      <c r="Z67" s="5" t="inlineStr">
        <is>
          <t>moderate loss</t>
        </is>
      </c>
      <c r="AA67" s="5" t="n">
        <v>28.5</v>
      </c>
      <c r="AB67" s="5" t="inlineStr">
        <is>
          <t>relative_ratio</t>
        </is>
      </c>
      <c r="AC67" s="5" t="inlineStr">
        <is>
          <t>no</t>
        </is>
      </c>
      <c r="AD67" s="5" t="inlineStr">
        <is>
          <t>Fukunaga, Engineering Failure Analysis 160 (2024) 108158. SSRT on piping removed from a hydrogen refuelling station after two years of service. 20-25% cold work, 7.8 wppm pre-contained hydrogen; 70 MPa H2 at -40 C vs nitrogen at -40 C. Nieq 28.5.</t>
        </is>
      </c>
      <c r="AE67" s="6">
        <f>IF(AND($U67="reduction of area",$H67="no"),$Y67,"")</f>
        <v/>
      </c>
      <c r="AF67" s="6">
        <f>IF(AND($U67="reduction of area",$H67="yes"),$Y67,"")</f>
        <v/>
      </c>
    </row>
    <row r="68">
      <c r="A68" s="5" t="inlineStr">
        <is>
          <t>NAKA18-BM</t>
        </is>
      </c>
      <c r="B68" s="5" t="inlineStr">
        <is>
          <t>S5</t>
        </is>
      </c>
      <c r="C68" s="5" t="inlineStr">
        <is>
          <t>Nakamura 2018</t>
        </is>
      </c>
      <c r="D68" s="5" t="inlineStr">
        <is>
          <t>316 hi-Ni</t>
        </is>
      </c>
      <c r="E68" s="5" t="n"/>
      <c r="F68" s="5" t="inlineStr">
        <is>
          <t>300-series (316/317 type)</t>
        </is>
      </c>
      <c r="G68" s="5" t="inlineStr">
        <is>
          <t>bar</t>
        </is>
      </c>
      <c r="H68" s="5" t="inlineStr">
        <is>
          <t>no</t>
        </is>
      </c>
      <c r="I68" s="5" t="inlineStr">
        <is>
          <t>base metal</t>
        </is>
      </c>
      <c r="J68" s="5" t="n"/>
      <c r="K68" s="5" t="n"/>
      <c r="L68" s="5" t="n"/>
      <c r="M68" s="5" t="inlineStr">
        <is>
          <t>gaseous in-situ</t>
        </is>
      </c>
      <c r="N68" s="5" t="n">
        <v>106</v>
      </c>
      <c r="O68" s="5" t="n"/>
      <c r="P68" s="5" t="n"/>
      <c r="Q68" s="5" t="n">
        <v>228</v>
      </c>
      <c r="R68" s="5" t="n">
        <v>-45.1</v>
      </c>
      <c r="S68" s="5" t="n"/>
      <c r="T68" s="5" t="inlineStr">
        <is>
          <t>tensile</t>
        </is>
      </c>
      <c r="U68" s="5" t="inlineStr">
        <is>
          <t>reduction of area</t>
        </is>
      </c>
      <c r="V68" s="5" t="inlineStr">
        <is>
          <t>nitrogen</t>
        </is>
      </c>
      <c r="W68" s="5" t="n">
        <v>83</v>
      </c>
      <c r="X68" s="5" t="n">
        <v>85</v>
      </c>
      <c r="Y68" s="5" t="n">
        <v>1.024</v>
      </c>
      <c r="Z68" s="5" t="inlineStr">
        <is>
          <t>no measurable loss</t>
        </is>
      </c>
      <c r="AA68" s="5" t="n"/>
      <c r="AB68" s="5" t="inlineStr">
        <is>
          <t>relative_ratio</t>
        </is>
      </c>
      <c r="AC68" s="5" t="inlineStr">
        <is>
          <t>no</t>
        </is>
      </c>
      <c r="AD68" s="5" t="inlineStr">
        <is>
          <t>Nakamura et al., Trans. JSME 84(857) 2018, DOI 10.1299/transjsme.17-00437. SSRT at -45 C in 106 MPa H2 gas, reference 0.1 MPa nitrogen. TIG multipass welded round bar, gauge entirely weld metal (6 mm dia, 30 mm). base metal, no loss (RRA 1.02 as reported)</t>
        </is>
      </c>
      <c r="AE68" s="6">
        <f>IF(AND($U68="reduction of area",$H68="no"),$Y68,"")</f>
        <v/>
      </c>
      <c r="AF68" s="6">
        <f>IF(AND($U68="reduction of area",$H68="yes"),$Y68,"")</f>
        <v/>
      </c>
    </row>
    <row r="69">
      <c r="A69" s="5" t="inlineStr">
        <is>
          <t>MICHLER09-S7</t>
        </is>
      </c>
      <c r="B69" s="5" t="inlineStr">
        <is>
          <t>S4</t>
        </is>
      </c>
      <c r="C69" s="5" t="inlineStr">
        <is>
          <t>Michler 2009</t>
        </is>
      </c>
      <c r="D69" s="5" t="inlineStr">
        <is>
          <t>316L</t>
        </is>
      </c>
      <c r="E69" s="5" t="n"/>
      <c r="F69" s="5" t="inlineStr">
        <is>
          <t>300-series (316/317 type)</t>
        </is>
      </c>
      <c r="G69" s="5" t="inlineStr">
        <is>
          <t>bar</t>
        </is>
      </c>
      <c r="H69" s="5" t="inlineStr">
        <is>
          <t>no</t>
        </is>
      </c>
      <c r="I69" s="5" t="inlineStr">
        <is>
          <t>base metal</t>
        </is>
      </c>
      <c r="J69" s="5" t="n"/>
      <c r="K69" s="5" t="n"/>
      <c r="L69" s="5" t="n"/>
      <c r="M69" s="5" t="inlineStr">
        <is>
          <t>gaseous in-situ</t>
        </is>
      </c>
      <c r="N69" s="5" t="n">
        <v>1</v>
      </c>
      <c r="O69" s="5" t="n"/>
      <c r="P69" s="5" t="n"/>
      <c r="Q69" s="5" t="n">
        <v>323</v>
      </c>
      <c r="R69" s="5" t="n">
        <v>49.9</v>
      </c>
      <c r="S69" s="5" t="n"/>
      <c r="T69" s="5" t="inlineStr">
        <is>
          <t>tensile</t>
        </is>
      </c>
      <c r="U69" s="5" t="inlineStr">
        <is>
          <t>reduction of area</t>
        </is>
      </c>
      <c r="V69" s="5" t="inlineStr">
        <is>
          <t>helium</t>
        </is>
      </c>
      <c r="W69" s="5" t="n">
        <v>83</v>
      </c>
      <c r="X69" s="5" t="n">
        <v>63</v>
      </c>
      <c r="Y69" s="5" t="n">
        <v>0.759</v>
      </c>
      <c r="Z69" s="5" t="inlineStr">
        <is>
          <t>significant loss</t>
        </is>
      </c>
      <c r="AA69" s="5" t="n"/>
      <c r="AB69" s="5" t="inlineStr">
        <is>
          <t>relative_ratio</t>
        </is>
      </c>
      <c r="AC69" s="5" t="inlineStr">
        <is>
          <t>no</t>
        </is>
      </c>
      <c r="AD69" s="5" t="inlineStr">
        <is>
          <t>Michler et al. 2009 Table 2. Tested in 1 MPa H2 vs 1 MPa He at 50 C. Steel 7, drawn bar; duplex string-like alpha'/gamma after straining. bar, longitudinal orientation.</t>
        </is>
      </c>
      <c r="AE69" s="6">
        <f>IF(AND($U69="reduction of area",$H69="no"),$Y69,"")</f>
        <v/>
      </c>
      <c r="AF69" s="6">
        <f>IF(AND($U69="reduction of area",$H69="yes"),$Y69,"")</f>
        <v/>
      </c>
    </row>
    <row r="70">
      <c r="A70" s="5" t="inlineStr">
        <is>
          <t>MICHLER09-S8</t>
        </is>
      </c>
      <c r="B70" s="5" t="inlineStr">
        <is>
          <t>S4</t>
        </is>
      </c>
      <c r="C70" s="5" t="inlineStr">
        <is>
          <t>Michler 2009</t>
        </is>
      </c>
      <c r="D70" s="5" t="inlineStr">
        <is>
          <t>316L</t>
        </is>
      </c>
      <c r="E70" s="5" t="n"/>
      <c r="F70" s="5" t="inlineStr">
        <is>
          <t>300-series (316/317 type)</t>
        </is>
      </c>
      <c r="G70" s="5" t="inlineStr">
        <is>
          <t>plate</t>
        </is>
      </c>
      <c r="H70" s="5" t="inlineStr">
        <is>
          <t>no</t>
        </is>
      </c>
      <c r="I70" s="5" t="inlineStr">
        <is>
          <t>base metal</t>
        </is>
      </c>
      <c r="J70" s="5" t="n"/>
      <c r="K70" s="5" t="n"/>
      <c r="L70" s="5" t="n"/>
      <c r="M70" s="5" t="inlineStr">
        <is>
          <t>gaseous in-situ</t>
        </is>
      </c>
      <c r="N70" s="5" t="n">
        <v>1</v>
      </c>
      <c r="O70" s="5" t="n"/>
      <c r="P70" s="5" t="n"/>
      <c r="Q70" s="5" t="n">
        <v>323</v>
      </c>
      <c r="R70" s="5" t="n">
        <v>49.9</v>
      </c>
      <c r="S70" s="5" t="n"/>
      <c r="T70" s="5" t="inlineStr">
        <is>
          <t>tensile</t>
        </is>
      </c>
      <c r="U70" s="5" t="inlineStr">
        <is>
          <t>reduction of area</t>
        </is>
      </c>
      <c r="V70" s="5" t="inlineStr">
        <is>
          <t>helium</t>
        </is>
      </c>
      <c r="W70" s="5" t="n">
        <v>80</v>
      </c>
      <c r="X70" s="5" t="n">
        <v>43</v>
      </c>
      <c r="Y70" s="5" t="n">
        <v>0.537</v>
      </c>
      <c r="Z70" s="5" t="inlineStr">
        <is>
          <t>significant loss</t>
        </is>
      </c>
      <c r="AA70" s="5" t="n"/>
      <c r="AB70" s="5" t="inlineStr">
        <is>
          <t>relative_ratio</t>
        </is>
      </c>
      <c r="AC70" s="5" t="inlineStr">
        <is>
          <t>no</t>
        </is>
      </c>
      <c r="AD70" s="5" t="inlineStr">
        <is>
          <t>Michler et al. 2009 Table 2. Tested in 1 MPa H2 vs 1 MPa He at 50 C. Steel 8, rolled plate; layered alpha'-gamma from Ni macro-segregation 9.5-13 wt%. plate, transverse orientation.</t>
        </is>
      </c>
      <c r="AE70" s="6">
        <f>IF(AND($U70="reduction of area",$H70="no"),$Y70,"")</f>
        <v/>
      </c>
      <c r="AF70" s="6">
        <f>IF(AND($U70="reduction of area",$H70="yes"),$Y70,"")</f>
        <v/>
      </c>
    </row>
    <row r="71">
      <c r="A71" s="5" t="inlineStr">
        <is>
          <t>NAKA18-AW</t>
        </is>
      </c>
      <c r="B71" s="5" t="inlineStr">
        <is>
          <t>S5</t>
        </is>
      </c>
      <c r="C71" s="5" t="inlineStr">
        <is>
          <t>Nakamura 2018</t>
        </is>
      </c>
      <c r="D71" s="5" t="inlineStr">
        <is>
          <t>317L weld metal</t>
        </is>
      </c>
      <c r="E71" s="5" t="n"/>
      <c r="F71" s="5" t="inlineStr">
        <is>
          <t>300-series (316/317 type)</t>
        </is>
      </c>
      <c r="G71" s="5" t="inlineStr">
        <is>
          <t>weld</t>
        </is>
      </c>
      <c r="H71" s="5" t="inlineStr">
        <is>
          <t>yes</t>
        </is>
      </c>
      <c r="I71" s="5" t="inlineStr">
        <is>
          <t>weld metal</t>
        </is>
      </c>
      <c r="J71" s="5" t="inlineStr">
        <is>
          <t>GTAW</t>
        </is>
      </c>
      <c r="K71" s="5" t="inlineStr">
        <is>
          <t>317L</t>
        </is>
      </c>
      <c r="L71" s="5" t="n"/>
      <c r="M71" s="5" t="inlineStr">
        <is>
          <t>gaseous in-situ</t>
        </is>
      </c>
      <c r="N71" s="5" t="n">
        <v>106</v>
      </c>
      <c r="O71" s="5" t="n"/>
      <c r="P71" s="5" t="n"/>
      <c r="Q71" s="5" t="n">
        <v>228</v>
      </c>
      <c r="R71" s="5" t="n">
        <v>-45.1</v>
      </c>
      <c r="S71" s="5" t="n"/>
      <c r="T71" s="5" t="inlineStr">
        <is>
          <t>tensile</t>
        </is>
      </c>
      <c r="U71" s="5" t="inlineStr">
        <is>
          <t>reduction of area</t>
        </is>
      </c>
      <c r="V71" s="5" t="inlineStr">
        <is>
          <t>nitrogen</t>
        </is>
      </c>
      <c r="W71" s="5" t="n">
        <v>58</v>
      </c>
      <c r="X71" s="5" t="n">
        <v>32</v>
      </c>
      <c r="Y71" s="5" t="n">
        <v>0.552</v>
      </c>
      <c r="Z71" s="5" t="inlineStr">
        <is>
          <t>significant loss</t>
        </is>
      </c>
      <c r="AA71" s="5" t="n"/>
      <c r="AB71" s="5" t="inlineStr">
        <is>
          <t>relative_ratio</t>
        </is>
      </c>
      <c r="AC71" s="5" t="inlineStr">
        <is>
          <t>no</t>
        </is>
      </c>
      <c r="AD71" s="5" t="inlineStr">
        <is>
          <t>Nakamura et al., Trans. JSME 84(857) 2018, DOI 10.1299/transjsme.17-00437. SSRT at -45 C in 106 MPa H2 gas, reference 0.1 MPa nitrogen. TIG multipass welded round bar, gauge entirely weld metal (6 mm dia, 30 mm). as-welded, columnar dendrites with delta-ferrite; RRA 0.55 as reported; lamellar weld fracture surface</t>
        </is>
      </c>
      <c r="AE71" s="6">
        <f>IF(AND($U71="reduction of area",$H71="no"),$Y71,"")</f>
        <v/>
      </c>
      <c r="AF71" s="6">
        <f>IF(AND($U71="reduction of area",$H71="yes"),$Y71,"")</f>
        <v/>
      </c>
    </row>
    <row r="72">
      <c r="A72" s="5" t="inlineStr">
        <is>
          <t>NAKA18-ST</t>
        </is>
      </c>
      <c r="B72" s="5" t="inlineStr">
        <is>
          <t>S5</t>
        </is>
      </c>
      <c r="C72" s="5" t="inlineStr">
        <is>
          <t>Nakamura 2018</t>
        </is>
      </c>
      <c r="D72" s="5" t="inlineStr">
        <is>
          <t>317L weld metal</t>
        </is>
      </c>
      <c r="E72" s="5" t="n"/>
      <c r="F72" s="5" t="inlineStr">
        <is>
          <t>300-series (316/317 type)</t>
        </is>
      </c>
      <c r="G72" s="5" t="inlineStr">
        <is>
          <t>weld</t>
        </is>
      </c>
      <c r="H72" s="5" t="inlineStr">
        <is>
          <t>yes</t>
        </is>
      </c>
      <c r="I72" s="5" t="inlineStr">
        <is>
          <t>weld metal</t>
        </is>
      </c>
      <c r="J72" s="5" t="inlineStr">
        <is>
          <t>GTAW</t>
        </is>
      </c>
      <c r="K72" s="5" t="inlineStr">
        <is>
          <t>317L</t>
        </is>
      </c>
      <c r="L72" s="5" t="n"/>
      <c r="M72" s="5" t="inlineStr">
        <is>
          <t>gaseous in-situ</t>
        </is>
      </c>
      <c r="N72" s="5" t="n">
        <v>106</v>
      </c>
      <c r="O72" s="5" t="n"/>
      <c r="P72" s="5" t="n"/>
      <c r="Q72" s="5" t="n">
        <v>228</v>
      </c>
      <c r="R72" s="5" t="n">
        <v>-45.1</v>
      </c>
      <c r="S72" s="5" t="n"/>
      <c r="T72" s="5" t="inlineStr">
        <is>
          <t>tensile</t>
        </is>
      </c>
      <c r="U72" s="5" t="inlineStr">
        <is>
          <t>reduction of area</t>
        </is>
      </c>
      <c r="V72" s="5" t="inlineStr">
        <is>
          <t>nitrogen</t>
        </is>
      </c>
      <c r="W72" s="5" t="n">
        <v>84</v>
      </c>
      <c r="X72" s="5" t="n">
        <v>76</v>
      </c>
      <c r="Y72" s="5" t="n">
        <v>0.905</v>
      </c>
      <c r="Z72" s="5" t="inlineStr">
        <is>
          <t>moderate loss</t>
        </is>
      </c>
      <c r="AA72" s="5" t="n"/>
      <c r="AB72" s="5" t="inlineStr">
        <is>
          <t>relative_ratio</t>
        </is>
      </c>
      <c r="AC72" s="5" t="inlineStr">
        <is>
          <t>no</t>
        </is>
      </c>
      <c r="AD72" s="5" t="inlineStr">
        <is>
          <t>Nakamura et al., Trans. JSME 84(857) 2018, DOI 10.1299/transjsme.17-00437. SSRT at -45 C in 106 MPa H2 gas, reference 0.1 MPa nitrogen. TIG multipass welded round bar, gauge entirely weld metal (6 mm dia, 30 mm). post-weld solution treated, delta-ferrite removed; RRA 0.90 as reported</t>
        </is>
      </c>
      <c r="AE72" s="6">
        <f>IF(AND($U72="reduction of area",$H72="no"),$Y72,"")</f>
        <v/>
      </c>
      <c r="AF72" s="6">
        <f>IF(AND($U72="reduction of area",$H72="yes"),$Y72,"")</f>
        <v/>
      </c>
    </row>
    <row r="73">
      <c r="A73" s="5" t="inlineStr">
        <is>
          <t>SAND2012-ch2104-W73</t>
        </is>
      </c>
      <c r="B73" s="5" t="inlineStr">
        <is>
          <t>S2</t>
        </is>
      </c>
      <c r="C73" s="5" t="inlineStr">
        <is>
          <t>San Marchi 2012</t>
        </is>
      </c>
      <c r="D73" s="5" t="inlineStr">
        <is>
          <t>321</t>
        </is>
      </c>
      <c r="E73" s="5" t="inlineStr">
        <is>
          <t>W73</t>
        </is>
      </c>
      <c r="F73" s="5" t="inlineStr">
        <is>
          <t>300-series stabilised (321/347)</t>
        </is>
      </c>
      <c r="G73" s="5" t="inlineStr">
        <is>
          <t>unknown</t>
        </is>
      </c>
      <c r="H73" s="5" t="inlineStr">
        <is>
          <t>no</t>
        </is>
      </c>
      <c r="I73" s="5" t="inlineStr">
        <is>
          <t>base metal</t>
        </is>
      </c>
      <c r="J73" s="5" t="n"/>
      <c r="K73" s="5" t="n"/>
      <c r="L73" s="5" t="n"/>
      <c r="M73" s="5" t="inlineStr">
        <is>
          <t>gaseous in-situ</t>
        </is>
      </c>
      <c r="N73" s="5" t="n">
        <v>34.5</v>
      </c>
      <c r="O73" s="5" t="n"/>
      <c r="P73" s="5" t="n"/>
      <c r="Q73" s="5" t="n">
        <v>295</v>
      </c>
      <c r="R73" s="5" t="n">
        <v>21.9</v>
      </c>
      <c r="S73" s="5" t="n">
        <v>6.7e-05</v>
      </c>
      <c r="T73" s="5" t="inlineStr">
        <is>
          <t>tensile</t>
        </is>
      </c>
      <c r="U73" s="5" t="inlineStr">
        <is>
          <t>reduction of area</t>
        </is>
      </c>
      <c r="V73" s="5" t="inlineStr">
        <is>
          <t>helium</t>
        </is>
      </c>
      <c r="W73" s="5" t="n">
        <v>66</v>
      </c>
      <c r="X73" s="5" t="n">
        <v>60</v>
      </c>
      <c r="Y73" s="5" t="n">
        <v>0.909</v>
      </c>
      <c r="Z73" s="5" t="inlineStr">
        <is>
          <t>moderate loss</t>
        </is>
      </c>
      <c r="AA73" s="5" t="n"/>
      <c r="AB73" s="5" t="inlineStr">
        <is>
          <t>relative_ratio</t>
        </is>
      </c>
      <c r="AC73" s="5" t="inlineStr">
        <is>
          <t>no</t>
        </is>
      </c>
      <c r="AD73" s="5" t="inlineStr">
        <is>
          <t>SAND2012-7321 chapter 2104 Table 3.1.1.1. Type 321. Ref [8].</t>
        </is>
      </c>
      <c r="AE73" s="6">
        <f>IF(AND($U73="reduction of area",$H73="no"),$Y73,"")</f>
        <v/>
      </c>
      <c r="AF73" s="6">
        <f>IF(AND($U73="reduction of area",$H73="yes"),$Y73,"")</f>
        <v/>
      </c>
    </row>
    <row r="74">
      <c r="A74" s="5" t="inlineStr">
        <is>
          <t>SAND2012-ch2104-H73</t>
        </is>
      </c>
      <c r="B74" s="5" t="inlineStr">
        <is>
          <t>S2</t>
        </is>
      </c>
      <c r="C74" s="5" t="inlineStr">
        <is>
          <t>San Marchi 2012</t>
        </is>
      </c>
      <c r="D74" s="5" t="inlineStr">
        <is>
          <t>347</t>
        </is>
      </c>
      <c r="E74" s="5" t="inlineStr">
        <is>
          <t>H73</t>
        </is>
      </c>
      <c r="F74" s="5" t="inlineStr">
        <is>
          <t>300-series stabilised (321/347)</t>
        </is>
      </c>
      <c r="G74" s="5" t="inlineStr">
        <is>
          <t>unknown</t>
        </is>
      </c>
      <c r="H74" s="5" t="inlineStr">
        <is>
          <t>no</t>
        </is>
      </c>
      <c r="I74" s="5" t="inlineStr">
        <is>
          <t>base metal</t>
        </is>
      </c>
      <c r="J74" s="5" t="n"/>
      <c r="K74" s="5" t="n"/>
      <c r="L74" s="5" t="n"/>
      <c r="M74" s="5" t="inlineStr">
        <is>
          <t>gaseous in-situ</t>
        </is>
      </c>
      <c r="N74" s="5" t="n">
        <v>34.5</v>
      </c>
      <c r="O74" s="5" t="n"/>
      <c r="P74" s="5" t="n"/>
      <c r="Q74" s="5" t="n">
        <v>295</v>
      </c>
      <c r="R74" s="5" t="n">
        <v>21.9</v>
      </c>
      <c r="S74" s="5" t="n">
        <v>0.00067</v>
      </c>
      <c r="T74" s="5" t="inlineStr">
        <is>
          <t>tensile</t>
        </is>
      </c>
      <c r="U74" s="5" t="inlineStr">
        <is>
          <t>reduction of area</t>
        </is>
      </c>
      <c r="V74" s="5" t="inlineStr">
        <is>
          <t>helium</t>
        </is>
      </c>
      <c r="W74" s="5" t="n">
        <v>70</v>
      </c>
      <c r="X74" s="5" t="n">
        <v>71</v>
      </c>
      <c r="Y74" s="5" t="n">
        <v>1.014</v>
      </c>
      <c r="Z74" s="5" t="inlineStr">
        <is>
          <t>no measurable loss</t>
        </is>
      </c>
      <c r="AA74" s="5" t="n"/>
      <c r="AB74" s="5" t="inlineStr">
        <is>
          <t>relative_ratio</t>
        </is>
      </c>
      <c r="AC74" s="5" t="inlineStr">
        <is>
          <t>no</t>
        </is>
      </c>
      <c r="AD74" s="5" t="inlineStr">
        <is>
          <t>SAND2012-7321 chapter 2104 Table 3.1.1.1. Type 347; no loss. Ref [7].</t>
        </is>
      </c>
      <c r="AE74" s="6">
        <f>IF(AND($U74="reduction of area",$H74="no"),$Y74,"")</f>
        <v/>
      </c>
      <c r="AF74" s="6">
        <f>IF(AND($U74="reduction of area",$H74="yes"),$Y74,"")</f>
        <v/>
      </c>
    </row>
    <row r="75">
      <c r="A75" s="5" t="inlineStr">
        <is>
          <t>SAND2012-ch2104-L72</t>
        </is>
      </c>
      <c r="B75" s="5" t="inlineStr">
        <is>
          <t>S2</t>
        </is>
      </c>
      <c r="C75" s="5" t="inlineStr">
        <is>
          <t>San Marchi 2012</t>
        </is>
      </c>
      <c r="D75" s="5" t="inlineStr">
        <is>
          <t>347</t>
        </is>
      </c>
      <c r="E75" s="5" t="inlineStr">
        <is>
          <t>L72</t>
        </is>
      </c>
      <c r="F75" s="5" t="inlineStr">
        <is>
          <t>300-series stabilised (321/347)</t>
        </is>
      </c>
      <c r="G75" s="5" t="inlineStr">
        <is>
          <t>unknown</t>
        </is>
      </c>
      <c r="H75" s="5" t="inlineStr">
        <is>
          <t>no</t>
        </is>
      </c>
      <c r="I75" s="5" t="inlineStr">
        <is>
          <t>base metal</t>
        </is>
      </c>
      <c r="J75" s="5" t="n"/>
      <c r="K75" s="5" t="n"/>
      <c r="L75" s="5" t="n"/>
      <c r="M75" s="5" t="inlineStr">
        <is>
          <t>gaseous in-situ</t>
        </is>
      </c>
      <c r="N75" s="5" t="n">
        <v>69</v>
      </c>
      <c r="O75" s="5" t="n"/>
      <c r="P75" s="5" t="n"/>
      <c r="Q75" s="5" t="n">
        <v>295</v>
      </c>
      <c r="R75" s="5" t="n">
        <v>21.9</v>
      </c>
      <c r="S75" s="5" t="n"/>
      <c r="T75" s="5" t="inlineStr">
        <is>
          <t>tensile</t>
        </is>
      </c>
      <c r="U75" s="5" t="inlineStr">
        <is>
          <t>reduction of area</t>
        </is>
      </c>
      <c r="V75" s="5" t="inlineStr">
        <is>
          <t>helium</t>
        </is>
      </c>
      <c r="W75" s="5" t="n">
        <v>80</v>
      </c>
      <c r="X75" s="5" t="n">
        <v>37</v>
      </c>
      <c r="Y75" s="5" t="n">
        <v>0.463</v>
      </c>
      <c r="Z75" s="5" t="inlineStr">
        <is>
          <t>significant loss</t>
        </is>
      </c>
      <c r="AA75" s="5" t="n"/>
      <c r="AB75" s="5" t="inlineStr">
        <is>
          <t>relative_ratio</t>
        </is>
      </c>
      <c r="AC75" s="5" t="inlineStr">
        <is>
          <t>no</t>
        </is>
      </c>
      <c r="AD75" s="5" t="inlineStr">
        <is>
          <t>SAND2012-7321 chapter 2104 Table 3.1.1.1. Type 347, composition not reported; large loss, an outlier among stabilized grades. Ref [13,14].</t>
        </is>
      </c>
      <c r="AE75" s="6">
        <f>IF(AND($U75="reduction of area",$H75="no"),$Y75,"")</f>
        <v/>
      </c>
      <c r="AF75" s="6">
        <f>IF(AND($U75="reduction of area",$H75="yes"),$Y75,"")</f>
        <v/>
      </c>
    </row>
    <row r="76">
      <c r="A76" s="5" t="inlineStr">
        <is>
          <t>CASKEY-T11-1-PS</t>
        </is>
      </c>
      <c r="B76" s="5" t="inlineStr">
        <is>
          <t>S1</t>
        </is>
      </c>
      <c r="C76" s="5" t="inlineStr">
        <is>
          <t>Caskey 1983</t>
        </is>
      </c>
      <c r="D76" s="5" t="inlineStr">
        <is>
          <t>21-6-9</t>
        </is>
      </c>
      <c r="E76" s="5" t="n"/>
      <c r="F76" s="5" t="inlineStr">
        <is>
          <t>N-strengthened (21-6-9)</t>
        </is>
      </c>
      <c r="G76" s="5" t="inlineStr">
        <is>
          <t>unknown</t>
        </is>
      </c>
      <c r="H76" s="5" t="inlineStr">
        <is>
          <t>no</t>
        </is>
      </c>
      <c r="I76" s="5" t="inlineStr">
        <is>
          <t>base metal</t>
        </is>
      </c>
      <c r="J76" s="5" t="n"/>
      <c r="K76" s="5" t="n"/>
      <c r="L76" s="5" t="n"/>
      <c r="M76" s="5" t="inlineStr">
        <is>
          <t>gaseous precharge</t>
        </is>
      </c>
      <c r="N76" s="5" t="n">
        <v>30</v>
      </c>
      <c r="O76" s="5" t="n"/>
      <c r="P76" s="5" t="n"/>
      <c r="Q76" s="5" t="n">
        <v>295</v>
      </c>
      <c r="R76" s="5" t="n">
        <v>21.9</v>
      </c>
      <c r="S76" s="5" t="n"/>
      <c r="T76" s="5" t="inlineStr">
        <is>
          <t>tensile</t>
        </is>
      </c>
      <c r="U76" s="5" t="inlineStr">
        <is>
          <t>plastic strain to failure</t>
        </is>
      </c>
      <c r="V76" s="5" t="inlineStr">
        <is>
          <t>uncharged</t>
        </is>
      </c>
      <c r="W76" s="5" t="n">
        <v>1.2</v>
      </c>
      <c r="X76" s="5" t="n">
        <v>0.76</v>
      </c>
      <c r="Y76" s="5" t="n">
        <v>0.633</v>
      </c>
      <c r="Z76" s="5" t="inlineStr">
        <is>
          <t>significant loss</t>
        </is>
      </c>
      <c r="AA76" s="5" t="n"/>
      <c r="AB76" s="5" t="inlineStr">
        <is>
          <t>relative_ratio</t>
        </is>
      </c>
      <c r="AC76" s="5" t="inlineStr">
        <is>
          <t>no</t>
        </is>
      </c>
      <c r="AD76" s="5" t="inlineStr">
        <is>
          <t>Caskey Table 11, HERF; 30 MPa H2 at 480 K for 56 days then aged 7 years at 250 K; reference = unexposed Composition from Caskey Table A-1 (nominal).</t>
        </is>
      </c>
      <c r="AE76" s="6">
        <f>IF(AND($U76="reduction of area",$H76="no"),$Y76,"")</f>
        <v/>
      </c>
      <c r="AF76" s="6">
        <f>IF(AND($U76="reduction of area",$H76="yes"),$Y76,"")</f>
        <v/>
      </c>
    </row>
    <row r="77">
      <c r="A77" s="5" t="inlineStr">
        <is>
          <t>CASKEY-T3-5-EL</t>
        </is>
      </c>
      <c r="B77" s="5" t="inlineStr">
        <is>
          <t>S1</t>
        </is>
      </c>
      <c r="C77" s="5" t="inlineStr">
        <is>
          <t>Caskey 1983</t>
        </is>
      </c>
      <c r="D77" s="5" t="inlineStr">
        <is>
          <t>21-6-9</t>
        </is>
      </c>
      <c r="E77" s="5" t="n"/>
      <c r="F77" s="5" t="inlineStr">
        <is>
          <t>N-strengthened (21-6-9)</t>
        </is>
      </c>
      <c r="G77" s="5" t="inlineStr">
        <is>
          <t>unknown</t>
        </is>
      </c>
      <c r="H77" s="5" t="inlineStr">
        <is>
          <t>no</t>
        </is>
      </c>
      <c r="I77" s="5" t="inlineStr">
        <is>
          <t>base metal</t>
        </is>
      </c>
      <c r="J77" s="5" t="n"/>
      <c r="K77" s="5" t="n"/>
      <c r="L77" s="5" t="n"/>
      <c r="M77" s="5" t="inlineStr">
        <is>
          <t>gaseous in-situ</t>
        </is>
      </c>
      <c r="N77" s="5" t="n">
        <v>69</v>
      </c>
      <c r="O77" s="5" t="n"/>
      <c r="P77" s="5" t="n"/>
      <c r="Q77" s="5" t="n">
        <v>295</v>
      </c>
      <c r="R77" s="5" t="n">
        <v>21.9</v>
      </c>
      <c r="S77" s="5" t="n"/>
      <c r="T77" s="5" t="inlineStr">
        <is>
          <t>tensile</t>
        </is>
      </c>
      <c r="U77" s="5" t="inlineStr">
        <is>
          <t>elongation</t>
        </is>
      </c>
      <c r="V77" s="5" t="inlineStr">
        <is>
          <t>helium</t>
        </is>
      </c>
      <c r="W77" s="5" t="n">
        <v>58</v>
      </c>
      <c r="X77" s="5" t="n">
        <v>59</v>
      </c>
      <c r="Y77" s="5" t="n">
        <v>1.017</v>
      </c>
      <c r="Z77" s="5" t="inlineStr">
        <is>
          <t>no measurable loss</t>
        </is>
      </c>
      <c r="AA77" s="5" t="n"/>
      <c r="AB77" s="5" t="inlineStr">
        <is>
          <t>relative_ratio</t>
        </is>
      </c>
      <c r="AC77" s="5" t="inlineStr">
        <is>
          <t>yes</t>
        </is>
      </c>
      <c r="AD77" s="5" t="inlineStr">
        <is>
          <t>Caskey DP-1643 Table 3. Condition: annealed. Reference environment 69 MPa helium, not air. Composition from Caskey Table A-1 (nominal).</t>
        </is>
      </c>
      <c r="AE77" s="6">
        <f>IF(AND($U77="reduction of area",$H77="no"),$Y77,"")</f>
        <v/>
      </c>
      <c r="AF77" s="6">
        <f>IF(AND($U77="reduction of area",$H77="yes"),$Y77,"")</f>
        <v/>
      </c>
    </row>
    <row r="78">
      <c r="A78" s="5" t="inlineStr">
        <is>
          <t>CASKEY-T3-5-RA</t>
        </is>
      </c>
      <c r="B78" s="5" t="inlineStr">
        <is>
          <t>S1</t>
        </is>
      </c>
      <c r="C78" s="5" t="inlineStr">
        <is>
          <t>Caskey 1983</t>
        </is>
      </c>
      <c r="D78" s="5" t="inlineStr">
        <is>
          <t>21-6-9</t>
        </is>
      </c>
      <c r="E78" s="5" t="n"/>
      <c r="F78" s="5" t="inlineStr">
        <is>
          <t>N-strengthened (21-6-9)</t>
        </is>
      </c>
      <c r="G78" s="5" t="inlineStr">
        <is>
          <t>unknown</t>
        </is>
      </c>
      <c r="H78" s="5" t="inlineStr">
        <is>
          <t>no</t>
        </is>
      </c>
      <c r="I78" s="5" t="inlineStr">
        <is>
          <t>base metal</t>
        </is>
      </c>
      <c r="J78" s="5" t="n"/>
      <c r="K78" s="5" t="n"/>
      <c r="L78" s="5" t="n"/>
      <c r="M78" s="5" t="inlineStr">
        <is>
          <t>gaseous in-situ</t>
        </is>
      </c>
      <c r="N78" s="5" t="n">
        <v>69</v>
      </c>
      <c r="O78" s="5" t="n"/>
      <c r="P78" s="5" t="n"/>
      <c r="Q78" s="5" t="n">
        <v>295</v>
      </c>
      <c r="R78" s="5" t="n">
        <v>21.9</v>
      </c>
      <c r="S78" s="5" t="n"/>
      <c r="T78" s="5" t="inlineStr">
        <is>
          <t>tensile</t>
        </is>
      </c>
      <c r="U78" s="5" t="inlineStr">
        <is>
          <t>reduction of area</t>
        </is>
      </c>
      <c r="V78" s="5" t="inlineStr">
        <is>
          <t>helium</t>
        </is>
      </c>
      <c r="W78" s="5" t="n">
        <v>78</v>
      </c>
      <c r="X78" s="5" t="n">
        <v>77</v>
      </c>
      <c r="Y78" s="5" t="n">
        <v>0.987</v>
      </c>
      <c r="Z78" s="5" t="inlineStr">
        <is>
          <t>no measurable loss</t>
        </is>
      </c>
      <c r="AA78" s="5" t="n"/>
      <c r="AB78" s="5" t="inlineStr">
        <is>
          <t>relative_ratio</t>
        </is>
      </c>
      <c r="AC78" s="5" t="inlineStr">
        <is>
          <t>yes</t>
        </is>
      </c>
      <c r="AD78" s="5" t="inlineStr">
        <is>
          <t>Caskey DP-1643 Table 3. Condition: annealed. Reference environment 69 MPa helium, not air. Composition from Caskey Table A-1 (nominal).</t>
        </is>
      </c>
      <c r="AE78" s="6">
        <f>IF(AND($U78="reduction of area",$H78="no"),$Y78,"")</f>
        <v/>
      </c>
      <c r="AF78" s="6">
        <f>IF(AND($U78="reduction of area",$H78="yes"),$Y78,"")</f>
        <v/>
      </c>
    </row>
    <row r="79">
      <c r="A79" s="5" t="inlineStr">
        <is>
          <t>CASKEY-T3-6-EL</t>
        </is>
      </c>
      <c r="B79" s="5" t="inlineStr">
        <is>
          <t>S1</t>
        </is>
      </c>
      <c r="C79" s="5" t="inlineStr">
        <is>
          <t>Caskey 1983</t>
        </is>
      </c>
      <c r="D79" s="5" t="inlineStr">
        <is>
          <t>21-6-9</t>
        </is>
      </c>
      <c r="E79" s="5" t="n"/>
      <c r="F79" s="5" t="inlineStr">
        <is>
          <t>N-strengthened (21-6-9)</t>
        </is>
      </c>
      <c r="G79" s="5" t="inlineStr">
        <is>
          <t>unknown</t>
        </is>
      </c>
      <c r="H79" s="5" t="inlineStr">
        <is>
          <t>no</t>
        </is>
      </c>
      <c r="I79" s="5" t="inlineStr">
        <is>
          <t>base metal</t>
        </is>
      </c>
      <c r="J79" s="5" t="n"/>
      <c r="K79" s="5" t="n"/>
      <c r="L79" s="5" t="n"/>
      <c r="M79" s="5" t="inlineStr">
        <is>
          <t>gaseous in-situ</t>
        </is>
      </c>
      <c r="N79" s="5" t="n">
        <v>69</v>
      </c>
      <c r="O79" s="5" t="n"/>
      <c r="P79" s="5" t="n"/>
      <c r="Q79" s="5" t="n">
        <v>295</v>
      </c>
      <c r="R79" s="5" t="n">
        <v>21.9</v>
      </c>
      <c r="S79" s="5" t="n"/>
      <c r="T79" s="5" t="inlineStr">
        <is>
          <t>tensile</t>
        </is>
      </c>
      <c r="U79" s="5" t="inlineStr">
        <is>
          <t>elongation</t>
        </is>
      </c>
      <c r="V79" s="5" t="inlineStr">
        <is>
          <t>helium</t>
        </is>
      </c>
      <c r="W79" s="5" t="n">
        <v>34</v>
      </c>
      <c r="X79" s="5" t="n">
        <v>30</v>
      </c>
      <c r="Y79" s="5" t="n">
        <v>0.882</v>
      </c>
      <c r="Z79" s="5" t="inlineStr">
        <is>
          <t>moderate loss</t>
        </is>
      </c>
      <c r="AA79" s="5" t="n"/>
      <c r="AB79" s="5" t="inlineStr">
        <is>
          <t>relative_ratio</t>
        </is>
      </c>
      <c r="AC79" s="5" t="inlineStr">
        <is>
          <t>yes</t>
        </is>
      </c>
      <c r="AD79" s="5" t="inlineStr">
        <is>
          <t>Caskey DP-1643 Table 3. Condition: HERF. Reference environment 69 MPa helium, not air. Composition from Caskey Table A-1 (nominal).</t>
        </is>
      </c>
      <c r="AE79" s="6">
        <f>IF(AND($U79="reduction of area",$H79="no"),$Y79,"")</f>
        <v/>
      </c>
      <c r="AF79" s="6">
        <f>IF(AND($U79="reduction of area",$H79="yes"),$Y79,"")</f>
        <v/>
      </c>
    </row>
    <row r="80">
      <c r="A80" s="5" t="inlineStr">
        <is>
          <t>CASKEY-T3-6-RA</t>
        </is>
      </c>
      <c r="B80" s="5" t="inlineStr">
        <is>
          <t>S1</t>
        </is>
      </c>
      <c r="C80" s="5" t="inlineStr">
        <is>
          <t>Caskey 1983</t>
        </is>
      </c>
      <c r="D80" s="5" t="inlineStr">
        <is>
          <t>21-6-9</t>
        </is>
      </c>
      <c r="E80" s="5" t="n"/>
      <c r="F80" s="5" t="inlineStr">
        <is>
          <t>N-strengthened (21-6-9)</t>
        </is>
      </c>
      <c r="G80" s="5" t="inlineStr">
        <is>
          <t>unknown</t>
        </is>
      </c>
      <c r="H80" s="5" t="inlineStr">
        <is>
          <t>no</t>
        </is>
      </c>
      <c r="I80" s="5" t="inlineStr">
        <is>
          <t>base metal</t>
        </is>
      </c>
      <c r="J80" s="5" t="n"/>
      <c r="K80" s="5" t="n"/>
      <c r="L80" s="5" t="n"/>
      <c r="M80" s="5" t="inlineStr">
        <is>
          <t>gaseous in-situ</t>
        </is>
      </c>
      <c r="N80" s="5" t="n">
        <v>69</v>
      </c>
      <c r="O80" s="5" t="n"/>
      <c r="P80" s="5" t="n"/>
      <c r="Q80" s="5" t="n">
        <v>295</v>
      </c>
      <c r="R80" s="5" t="n">
        <v>21.9</v>
      </c>
      <c r="S80" s="5" t="n"/>
      <c r="T80" s="5" t="inlineStr">
        <is>
          <t>tensile</t>
        </is>
      </c>
      <c r="U80" s="5" t="inlineStr">
        <is>
          <t>reduction of area</t>
        </is>
      </c>
      <c r="V80" s="5" t="inlineStr">
        <is>
          <t>helium</t>
        </is>
      </c>
      <c r="W80" s="5" t="n">
        <v>75</v>
      </c>
      <c r="X80" s="5" t="n">
        <v>73</v>
      </c>
      <c r="Y80" s="5" t="n">
        <v>0.973</v>
      </c>
      <c r="Z80" s="5" t="inlineStr">
        <is>
          <t>no measurable loss</t>
        </is>
      </c>
      <c r="AA80" s="5" t="n"/>
      <c r="AB80" s="5" t="inlineStr">
        <is>
          <t>relative_ratio</t>
        </is>
      </c>
      <c r="AC80" s="5" t="inlineStr">
        <is>
          <t>yes</t>
        </is>
      </c>
      <c r="AD80" s="5" t="inlineStr">
        <is>
          <t>Caskey DP-1643 Table 3. Condition: HERF. Reference environment 69 MPa helium, not air. Composition from Caskey Table A-1 (nominal).</t>
        </is>
      </c>
      <c r="AE80" s="6">
        <f>IF(AND($U80="reduction of area",$H80="no"),$Y80,"")</f>
        <v/>
      </c>
      <c r="AF80" s="6">
        <f>IF(AND($U80="reduction of area",$H80="yes"),$Y80,"")</f>
        <v/>
      </c>
    </row>
    <row r="81">
      <c r="A81" s="5" t="inlineStr">
        <is>
          <t>SAND2012-ch2202-T431-B1-EL</t>
        </is>
      </c>
      <c r="B81" s="5" t="inlineStr">
        <is>
          <t>S2</t>
        </is>
      </c>
      <c r="C81" s="5" t="inlineStr">
        <is>
          <t>San Marchi 2012</t>
        </is>
      </c>
      <c r="D81" s="5" t="inlineStr">
        <is>
          <t>21-6-9/21-6-9 weld</t>
        </is>
      </c>
      <c r="E81" s="5" t="n"/>
      <c r="F81" s="5" t="inlineStr">
        <is>
          <t>N-strengthened (21-6-9)</t>
        </is>
      </c>
      <c r="G81" s="5" t="inlineStr">
        <is>
          <t>weld</t>
        </is>
      </c>
      <c r="H81" s="5" t="inlineStr">
        <is>
          <t>yes</t>
        </is>
      </c>
      <c r="I81" s="5" t="inlineStr">
        <is>
          <t>whole joint</t>
        </is>
      </c>
      <c r="J81" s="5" t="inlineStr">
        <is>
          <t>GTAW</t>
        </is>
      </c>
      <c r="K81" s="5" t="inlineStr">
        <is>
          <t>21-6-9</t>
        </is>
      </c>
      <c r="L81" s="5" t="n"/>
      <c r="M81" s="5" t="inlineStr">
        <is>
          <t>gaseous in-situ</t>
        </is>
      </c>
      <c r="N81" s="5" t="n">
        <v>69</v>
      </c>
      <c r="O81" s="5" t="n"/>
      <c r="P81" s="5" t="n"/>
      <c r="Q81" s="5" t="n">
        <v>295</v>
      </c>
      <c r="R81" s="5" t="n">
        <v>21.9</v>
      </c>
      <c r="S81" s="5" t="n">
        <v>0.00033</v>
      </c>
      <c r="T81" s="5" t="inlineStr">
        <is>
          <t>tensile</t>
        </is>
      </c>
      <c r="U81" s="5" t="inlineStr">
        <is>
          <t>elongation</t>
        </is>
      </c>
      <c r="V81" s="5" t="inlineStr">
        <is>
          <t>air</t>
        </is>
      </c>
      <c r="W81" s="5" t="n">
        <v>19</v>
      </c>
      <c r="X81" s="5" t="n">
        <v>22</v>
      </c>
      <c r="Y81" s="5" t="n">
        <v>1.158</v>
      </c>
      <c r="Z81" s="5" t="inlineStr">
        <is>
          <t>no measurable loss</t>
        </is>
      </c>
      <c r="AA81" s="5" t="n"/>
      <c r="AB81" s="5" t="inlineStr">
        <is>
          <t>relative_ratio</t>
        </is>
      </c>
      <c r="AC81" s="5" t="inlineStr">
        <is>
          <t>no</t>
        </is>
      </c>
      <c r="AD81" s="5" t="inlineStr">
        <is>
          <t>SAND2012-7321 chapter 2202 Table 4.3.1. 21-6-9 HERF base with 21-6-9 filler, GTA composite weld, heat B83bw. Ref [24]. external hydrogen only</t>
        </is>
      </c>
      <c r="AE81" s="6">
        <f>IF(AND($U81="reduction of area",$H81="no"),$Y81,"")</f>
        <v/>
      </c>
      <c r="AF81" s="6">
        <f>IF(AND($U81="reduction of area",$H81="yes"),$Y81,"")</f>
        <v/>
      </c>
    </row>
    <row r="82">
      <c r="A82" s="5" t="inlineStr">
        <is>
          <t>SAND2012-ch2202-T431-B1-RA</t>
        </is>
      </c>
      <c r="B82" s="5" t="inlineStr">
        <is>
          <t>S2</t>
        </is>
      </c>
      <c r="C82" s="5" t="inlineStr">
        <is>
          <t>San Marchi 2012</t>
        </is>
      </c>
      <c r="D82" s="5" t="inlineStr">
        <is>
          <t>21-6-9/21-6-9 weld</t>
        </is>
      </c>
      <c r="E82" s="5" t="n"/>
      <c r="F82" s="5" t="inlineStr">
        <is>
          <t>N-strengthened (21-6-9)</t>
        </is>
      </c>
      <c r="G82" s="5" t="inlineStr">
        <is>
          <t>weld</t>
        </is>
      </c>
      <c r="H82" s="5" t="inlineStr">
        <is>
          <t>yes</t>
        </is>
      </c>
      <c r="I82" s="5" t="inlineStr">
        <is>
          <t>whole joint</t>
        </is>
      </c>
      <c r="J82" s="5" t="inlineStr">
        <is>
          <t>GTAW</t>
        </is>
      </c>
      <c r="K82" s="5" t="inlineStr">
        <is>
          <t>21-6-9</t>
        </is>
      </c>
      <c r="L82" s="5" t="n"/>
      <c r="M82" s="5" t="inlineStr">
        <is>
          <t>gaseous in-situ</t>
        </is>
      </c>
      <c r="N82" s="5" t="n">
        <v>69</v>
      </c>
      <c r="O82" s="5" t="n"/>
      <c r="P82" s="5" t="n"/>
      <c r="Q82" s="5" t="n">
        <v>295</v>
      </c>
      <c r="R82" s="5" t="n">
        <v>21.9</v>
      </c>
      <c r="S82" s="5" t="n">
        <v>0.00033</v>
      </c>
      <c r="T82" s="5" t="inlineStr">
        <is>
          <t>tensile</t>
        </is>
      </c>
      <c r="U82" s="5" t="inlineStr">
        <is>
          <t>reduction of area</t>
        </is>
      </c>
      <c r="V82" s="5" t="inlineStr">
        <is>
          <t>air</t>
        </is>
      </c>
      <c r="W82" s="5" t="n">
        <v>60</v>
      </c>
      <c r="X82" s="5" t="n">
        <v>75</v>
      </c>
      <c r="Y82" s="5" t="n">
        <v>1.25</v>
      </c>
      <c r="Z82" s="5" t="inlineStr">
        <is>
          <t>no measurable loss</t>
        </is>
      </c>
      <c r="AA82" s="5" t="n"/>
      <c r="AB82" s="5" t="inlineStr">
        <is>
          <t>relative_ratio</t>
        </is>
      </c>
      <c r="AC82" s="5" t="inlineStr">
        <is>
          <t>no</t>
        </is>
      </c>
      <c r="AD82" s="5" t="inlineStr">
        <is>
          <t>SAND2012-7321 chapter 2202 Table 4.3.1. 21-6-9 HERF base with 21-6-9 filler, GTA composite weld, heat B83bw. Ref [24]. external hydrogen only</t>
        </is>
      </c>
      <c r="AE82" s="6">
        <f>IF(AND($U82="reduction of area",$H82="no"),$Y82,"")</f>
        <v/>
      </c>
      <c r="AF82" s="6">
        <f>IF(AND($U82="reduction of area",$H82="yes"),$Y82,"")</f>
        <v/>
      </c>
    </row>
    <row r="83">
      <c r="A83" s="5" t="inlineStr">
        <is>
          <t>SAND2012-ch2202-T431-B2-EL</t>
        </is>
      </c>
      <c r="B83" s="5" t="inlineStr">
        <is>
          <t>S2</t>
        </is>
      </c>
      <c r="C83" s="5" t="inlineStr">
        <is>
          <t>San Marchi 2012</t>
        </is>
      </c>
      <c r="D83" s="5" t="inlineStr">
        <is>
          <t>21-6-9/21-6-9 weld</t>
        </is>
      </c>
      <c r="E83" s="5" t="n"/>
      <c r="F83" s="5" t="inlineStr">
        <is>
          <t>N-strengthened (21-6-9)</t>
        </is>
      </c>
      <c r="G83" s="5" t="inlineStr">
        <is>
          <t>weld</t>
        </is>
      </c>
      <c r="H83" s="5" t="inlineStr">
        <is>
          <t>yes</t>
        </is>
      </c>
      <c r="I83" s="5" t="inlineStr">
        <is>
          <t>whole joint</t>
        </is>
      </c>
      <c r="J83" s="5" t="inlineStr">
        <is>
          <t>GTAW</t>
        </is>
      </c>
      <c r="K83" s="5" t="inlineStr">
        <is>
          <t>21-6-9</t>
        </is>
      </c>
      <c r="L83" s="5" t="n"/>
      <c r="M83" s="5" t="inlineStr">
        <is>
          <t>gaseous in-situ</t>
        </is>
      </c>
      <c r="N83" s="5" t="n">
        <v>172</v>
      </c>
      <c r="O83" s="5" t="n"/>
      <c r="P83" s="5" t="n"/>
      <c r="Q83" s="5" t="n">
        <v>295</v>
      </c>
      <c r="R83" s="5" t="n">
        <v>21.9</v>
      </c>
      <c r="S83" s="5" t="n">
        <v>0.00033</v>
      </c>
      <c r="T83" s="5" t="inlineStr">
        <is>
          <t>tensile</t>
        </is>
      </c>
      <c r="U83" s="5" t="inlineStr">
        <is>
          <t>elongation</t>
        </is>
      </c>
      <c r="V83" s="5" t="inlineStr">
        <is>
          <t>air</t>
        </is>
      </c>
      <c r="W83" s="5" t="n">
        <v>19</v>
      </c>
      <c r="X83" s="5" t="n">
        <v>20</v>
      </c>
      <c r="Y83" s="5" t="n">
        <v>1.053</v>
      </c>
      <c r="Z83" s="5" t="inlineStr">
        <is>
          <t>no measurable loss</t>
        </is>
      </c>
      <c r="AA83" s="5" t="n"/>
      <c r="AB83" s="5" t="inlineStr">
        <is>
          <t>relative_ratio</t>
        </is>
      </c>
      <c r="AC83" s="5" t="inlineStr">
        <is>
          <t>no</t>
        </is>
      </c>
      <c r="AD83" s="5" t="inlineStr">
        <is>
          <t>SAND2012-7321 chapter 2202 Table 4.3.1. 21-6-9 HERF base with 21-6-9 filler, GTA composite weld, heat B83bw. Ref [24]. external hydrogen only</t>
        </is>
      </c>
      <c r="AE83" s="6">
        <f>IF(AND($U83="reduction of area",$H83="no"),$Y83,"")</f>
        <v/>
      </c>
      <c r="AF83" s="6">
        <f>IF(AND($U83="reduction of area",$H83="yes"),$Y83,"")</f>
        <v/>
      </c>
    </row>
    <row r="84">
      <c r="A84" s="5" t="inlineStr">
        <is>
          <t>SAND2012-ch2202-T431-B2-RA</t>
        </is>
      </c>
      <c r="B84" s="5" t="inlineStr">
        <is>
          <t>S2</t>
        </is>
      </c>
      <c r="C84" s="5" t="inlineStr">
        <is>
          <t>San Marchi 2012</t>
        </is>
      </c>
      <c r="D84" s="5" t="inlineStr">
        <is>
          <t>21-6-9/21-6-9 weld</t>
        </is>
      </c>
      <c r="E84" s="5" t="n"/>
      <c r="F84" s="5" t="inlineStr">
        <is>
          <t>N-strengthened (21-6-9)</t>
        </is>
      </c>
      <c r="G84" s="5" t="inlineStr">
        <is>
          <t>weld</t>
        </is>
      </c>
      <c r="H84" s="5" t="inlineStr">
        <is>
          <t>yes</t>
        </is>
      </c>
      <c r="I84" s="5" t="inlineStr">
        <is>
          <t>whole joint</t>
        </is>
      </c>
      <c r="J84" s="5" t="inlineStr">
        <is>
          <t>GTAW</t>
        </is>
      </c>
      <c r="K84" s="5" t="inlineStr">
        <is>
          <t>21-6-9</t>
        </is>
      </c>
      <c r="L84" s="5" t="n"/>
      <c r="M84" s="5" t="inlineStr">
        <is>
          <t>gaseous in-situ</t>
        </is>
      </c>
      <c r="N84" s="5" t="n">
        <v>172</v>
      </c>
      <c r="O84" s="5" t="n"/>
      <c r="P84" s="5" t="n"/>
      <c r="Q84" s="5" t="n">
        <v>295</v>
      </c>
      <c r="R84" s="5" t="n">
        <v>21.9</v>
      </c>
      <c r="S84" s="5" t="n">
        <v>0.00033</v>
      </c>
      <c r="T84" s="5" t="inlineStr">
        <is>
          <t>tensile</t>
        </is>
      </c>
      <c r="U84" s="5" t="inlineStr">
        <is>
          <t>reduction of area</t>
        </is>
      </c>
      <c r="V84" s="5" t="inlineStr">
        <is>
          <t>air</t>
        </is>
      </c>
      <c r="W84" s="5" t="n">
        <v>60</v>
      </c>
      <c r="X84" s="5" t="n">
        <v>69</v>
      </c>
      <c r="Y84" s="5" t="n">
        <v>1.15</v>
      </c>
      <c r="Z84" s="5" t="inlineStr">
        <is>
          <t>no measurable loss</t>
        </is>
      </c>
      <c r="AA84" s="5" t="n"/>
      <c r="AB84" s="5" t="inlineStr">
        <is>
          <t>relative_ratio</t>
        </is>
      </c>
      <c r="AC84" s="5" t="inlineStr">
        <is>
          <t>no</t>
        </is>
      </c>
      <c r="AD84" s="5" t="inlineStr">
        <is>
          <t>SAND2012-7321 chapter 2202 Table 4.3.1. 21-6-9 HERF base with 21-6-9 filler, GTA composite weld, heat B83bw. Ref [24]. external hydrogen only</t>
        </is>
      </c>
      <c r="AE84" s="6">
        <f>IF(AND($U84="reduction of area",$H84="no"),$Y84,"")</f>
        <v/>
      </c>
      <c r="AF84" s="6">
        <f>IF(AND($U84="reduction of area",$H84="yes"),$Y84,"")</f>
        <v/>
      </c>
    </row>
    <row r="85">
      <c r="A85" s="5" t="inlineStr">
        <is>
          <t>SAND2012-ch2202-T431-B3-EL</t>
        </is>
      </c>
      <c r="B85" s="5" t="inlineStr">
        <is>
          <t>S2</t>
        </is>
      </c>
      <c r="C85" s="5" t="inlineStr">
        <is>
          <t>San Marchi 2012</t>
        </is>
      </c>
      <c r="D85" s="5" t="inlineStr">
        <is>
          <t>21-6-9/21-6-9 weld</t>
        </is>
      </c>
      <c r="E85" s="5" t="n"/>
      <c r="F85" s="5" t="inlineStr">
        <is>
          <t>N-strengthened (21-6-9)</t>
        </is>
      </c>
      <c r="G85" s="5" t="inlineStr">
        <is>
          <t>weld</t>
        </is>
      </c>
      <c r="H85" s="5" t="inlineStr">
        <is>
          <t>yes</t>
        </is>
      </c>
      <c r="I85" s="5" t="inlineStr">
        <is>
          <t>whole joint</t>
        </is>
      </c>
      <c r="J85" s="5" t="inlineStr">
        <is>
          <t>GTAW</t>
        </is>
      </c>
      <c r="K85" s="5" t="inlineStr">
        <is>
          <t>21-6-9</t>
        </is>
      </c>
      <c r="L85" s="5" t="n"/>
      <c r="M85" s="5" t="inlineStr">
        <is>
          <t>gaseous precharge</t>
        </is>
      </c>
      <c r="N85" s="5" t="n">
        <v>0.1</v>
      </c>
      <c r="O85" s="5" t="n">
        <v>45</v>
      </c>
      <c r="P85" s="5" t="n">
        <v>240</v>
      </c>
      <c r="Q85" s="5" t="n">
        <v>295</v>
      </c>
      <c r="R85" s="5" t="n">
        <v>21.9</v>
      </c>
      <c r="S85" s="5" t="n">
        <v>0.00033</v>
      </c>
      <c r="T85" s="5" t="inlineStr">
        <is>
          <t>tensile</t>
        </is>
      </c>
      <c r="U85" s="5" t="inlineStr">
        <is>
          <t>elongation</t>
        </is>
      </c>
      <c r="V85" s="5" t="inlineStr">
        <is>
          <t>air</t>
        </is>
      </c>
      <c r="W85" s="5" t="n">
        <v>19</v>
      </c>
      <c r="X85" s="5" t="n">
        <v>18</v>
      </c>
      <c r="Y85" s="5" t="n">
        <v>0.947</v>
      </c>
      <c r="Z85" s="5" t="inlineStr">
        <is>
          <t>moderate loss</t>
        </is>
      </c>
      <c r="AA85" s="5" t="n"/>
      <c r="AB85" s="5" t="inlineStr">
        <is>
          <t>relative_ratio</t>
        </is>
      </c>
      <c r="AC85" s="5" t="inlineStr">
        <is>
          <t>no</t>
        </is>
      </c>
      <c r="AD85" s="5" t="inlineStr">
        <is>
          <t>SAND2012-7321 chapter 2202 Table 4.3.1. 21-6-9 HERF base with 21-6-9 filler, GTA composite weld, heat B83bw. Ref [24]. precharged then tested</t>
        </is>
      </c>
      <c r="AE85" s="6">
        <f>IF(AND($U85="reduction of area",$H85="no"),$Y85,"")</f>
        <v/>
      </c>
      <c r="AF85" s="6">
        <f>IF(AND($U85="reduction of area",$H85="yes"),$Y85,"")</f>
        <v/>
      </c>
    </row>
    <row r="86">
      <c r="A86" s="5" t="inlineStr">
        <is>
          <t>SAND2012-ch2202-T431-B3-RA</t>
        </is>
      </c>
      <c r="B86" s="5" t="inlineStr">
        <is>
          <t>S2</t>
        </is>
      </c>
      <c r="C86" s="5" t="inlineStr">
        <is>
          <t>San Marchi 2012</t>
        </is>
      </c>
      <c r="D86" s="5" t="inlineStr">
        <is>
          <t>21-6-9/21-6-9 weld</t>
        </is>
      </c>
      <c r="E86" s="5" t="n"/>
      <c r="F86" s="5" t="inlineStr">
        <is>
          <t>N-strengthened (21-6-9)</t>
        </is>
      </c>
      <c r="G86" s="5" t="inlineStr">
        <is>
          <t>weld</t>
        </is>
      </c>
      <c r="H86" s="5" t="inlineStr">
        <is>
          <t>yes</t>
        </is>
      </c>
      <c r="I86" s="5" t="inlineStr">
        <is>
          <t>whole joint</t>
        </is>
      </c>
      <c r="J86" s="5" t="inlineStr">
        <is>
          <t>GTAW</t>
        </is>
      </c>
      <c r="K86" s="5" t="inlineStr">
        <is>
          <t>21-6-9</t>
        </is>
      </c>
      <c r="L86" s="5" t="n"/>
      <c r="M86" s="5" t="inlineStr">
        <is>
          <t>gaseous precharge</t>
        </is>
      </c>
      <c r="N86" s="5" t="n">
        <v>0.1</v>
      </c>
      <c r="O86" s="5" t="n">
        <v>45</v>
      </c>
      <c r="P86" s="5" t="n">
        <v>240</v>
      </c>
      <c r="Q86" s="5" t="n">
        <v>295</v>
      </c>
      <c r="R86" s="5" t="n">
        <v>21.9</v>
      </c>
      <c r="S86" s="5" t="n">
        <v>0.00033</v>
      </c>
      <c r="T86" s="5" t="inlineStr">
        <is>
          <t>tensile</t>
        </is>
      </c>
      <c r="U86" s="5" t="inlineStr">
        <is>
          <t>reduction of area</t>
        </is>
      </c>
      <c r="V86" s="5" t="inlineStr">
        <is>
          <t>air</t>
        </is>
      </c>
      <c r="W86" s="5" t="n">
        <v>60</v>
      </c>
      <c r="X86" s="5" t="n">
        <v>56</v>
      </c>
      <c r="Y86" s="5" t="n">
        <v>0.9330000000000001</v>
      </c>
      <c r="Z86" s="5" t="inlineStr">
        <is>
          <t>moderate loss</t>
        </is>
      </c>
      <c r="AA86" s="5" t="n"/>
      <c r="AB86" s="5" t="inlineStr">
        <is>
          <t>relative_ratio</t>
        </is>
      </c>
      <c r="AC86" s="5" t="inlineStr">
        <is>
          <t>no</t>
        </is>
      </c>
      <c r="AD86" s="5" t="inlineStr">
        <is>
          <t>SAND2012-7321 chapter 2202 Table 4.3.1. 21-6-9 HERF base with 21-6-9 filler, GTA composite weld, heat B83bw. Ref [24]. precharged then tested</t>
        </is>
      </c>
      <c r="AE86" s="6">
        <f>IF(AND($U86="reduction of area",$H86="no"),$Y86,"")</f>
        <v/>
      </c>
      <c r="AF86" s="6">
        <f>IF(AND($U86="reduction of area",$H86="yes"),$Y86,"")</f>
        <v/>
      </c>
    </row>
    <row r="87">
      <c r="A87" s="5" t="inlineStr">
        <is>
          <t>SAND2012-ch2202-T431-B4-RA</t>
        </is>
      </c>
      <c r="B87" s="5" t="inlineStr">
        <is>
          <t>S2</t>
        </is>
      </c>
      <c r="C87" s="5" t="inlineStr">
        <is>
          <t>San Marchi 2012</t>
        </is>
      </c>
      <c r="D87" s="5" t="inlineStr">
        <is>
          <t>21-6-9/21-6-9 weld</t>
        </is>
      </c>
      <c r="E87" s="5" t="n"/>
      <c r="F87" s="5" t="inlineStr">
        <is>
          <t>N-strengthened (21-6-9)</t>
        </is>
      </c>
      <c r="G87" s="5" t="inlineStr">
        <is>
          <t>weld</t>
        </is>
      </c>
      <c r="H87" s="5" t="inlineStr">
        <is>
          <t>yes</t>
        </is>
      </c>
      <c r="I87" s="5" t="inlineStr">
        <is>
          <t>whole joint</t>
        </is>
      </c>
      <c r="J87" s="5" t="inlineStr">
        <is>
          <t>GTAW</t>
        </is>
      </c>
      <c r="K87" s="5" t="inlineStr">
        <is>
          <t>21-6-9</t>
        </is>
      </c>
      <c r="L87" s="5" t="n"/>
      <c r="M87" s="5" t="inlineStr">
        <is>
          <t>gaseous precharge</t>
        </is>
      </c>
      <c r="N87" s="5" t="n">
        <v>69</v>
      </c>
      <c r="O87" s="5" t="n">
        <v>45</v>
      </c>
      <c r="P87" s="5" t="n">
        <v>240</v>
      </c>
      <c r="Q87" s="5" t="n">
        <v>295</v>
      </c>
      <c r="R87" s="5" t="n">
        <v>21.9</v>
      </c>
      <c r="S87" s="5" t="n">
        <v>0.00033</v>
      </c>
      <c r="T87" s="5" t="inlineStr">
        <is>
          <t>tensile</t>
        </is>
      </c>
      <c r="U87" s="5" t="inlineStr">
        <is>
          <t>reduction of area</t>
        </is>
      </c>
      <c r="V87" s="5" t="inlineStr">
        <is>
          <t>air</t>
        </is>
      </c>
      <c r="W87" s="5" t="n">
        <v>60</v>
      </c>
      <c r="X87" s="5" t="n">
        <v>50</v>
      </c>
      <c r="Y87" s="5" t="n">
        <v>0.833</v>
      </c>
      <c r="Z87" s="5" t="inlineStr">
        <is>
          <t>moderate loss</t>
        </is>
      </c>
      <c r="AA87" s="5" t="n"/>
      <c r="AB87" s="5" t="inlineStr">
        <is>
          <t>relative_ratio</t>
        </is>
      </c>
      <c r="AC87" s="5" t="inlineStr">
        <is>
          <t>no</t>
        </is>
      </c>
      <c r="AD87" s="5" t="inlineStr">
        <is>
          <t>SAND2012-7321 chapter 2202 Table 4.3.1. 21-6-9 HERF base with 21-6-9 filler, GTA composite weld, heat B83bw. Ref [24]. precharged then tested</t>
        </is>
      </c>
      <c r="AE87" s="6">
        <f>IF(AND($U87="reduction of area",$H87="no"),$Y87,"")</f>
        <v/>
      </c>
      <c r="AF87" s="6">
        <f>IF(AND($U87="reduction of area",$H87="yes"),$Y87,"")</f>
        <v/>
      </c>
    </row>
    <row r="88">
      <c r="A88" s="5" t="inlineStr">
        <is>
          <t>SAND2012-ch2202-T431-B5-EL</t>
        </is>
      </c>
      <c r="B88" s="5" t="inlineStr">
        <is>
          <t>S2</t>
        </is>
      </c>
      <c r="C88" s="5" t="inlineStr">
        <is>
          <t>San Marchi 2012</t>
        </is>
      </c>
      <c r="D88" s="5" t="inlineStr">
        <is>
          <t>21-6-9/21-6-9 weld</t>
        </is>
      </c>
      <c r="E88" s="5" t="n"/>
      <c r="F88" s="5" t="inlineStr">
        <is>
          <t>N-strengthened (21-6-9)</t>
        </is>
      </c>
      <c r="G88" s="5" t="inlineStr">
        <is>
          <t>weld</t>
        </is>
      </c>
      <c r="H88" s="5" t="inlineStr">
        <is>
          <t>yes</t>
        </is>
      </c>
      <c r="I88" s="5" t="inlineStr">
        <is>
          <t>whole joint</t>
        </is>
      </c>
      <c r="J88" s="5" t="inlineStr">
        <is>
          <t>GTAW</t>
        </is>
      </c>
      <c r="K88" s="5" t="inlineStr">
        <is>
          <t>21-6-9</t>
        </is>
      </c>
      <c r="L88" s="5" t="n"/>
      <c r="M88" s="5" t="inlineStr">
        <is>
          <t>gaseous precharge</t>
        </is>
      </c>
      <c r="N88" s="5" t="n">
        <v>0.1</v>
      </c>
      <c r="O88" s="5" t="n">
        <v>72</v>
      </c>
      <c r="P88" s="5" t="n">
        <v>240</v>
      </c>
      <c r="Q88" s="5" t="n">
        <v>295</v>
      </c>
      <c r="R88" s="5" t="n">
        <v>21.9</v>
      </c>
      <c r="S88" s="5" t="n">
        <v>0.00033</v>
      </c>
      <c r="T88" s="5" t="inlineStr">
        <is>
          <t>tensile</t>
        </is>
      </c>
      <c r="U88" s="5" t="inlineStr">
        <is>
          <t>elongation</t>
        </is>
      </c>
      <c r="V88" s="5" t="inlineStr">
        <is>
          <t>air</t>
        </is>
      </c>
      <c r="W88" s="5" t="n">
        <v>19</v>
      </c>
      <c r="X88" s="5" t="n">
        <v>16</v>
      </c>
      <c r="Y88" s="5" t="n">
        <v>0.842</v>
      </c>
      <c r="Z88" s="5" t="inlineStr">
        <is>
          <t>moderate loss</t>
        </is>
      </c>
      <c r="AA88" s="5" t="n"/>
      <c r="AB88" s="5" t="inlineStr">
        <is>
          <t>relative_ratio</t>
        </is>
      </c>
      <c r="AC88" s="5" t="inlineStr">
        <is>
          <t>no</t>
        </is>
      </c>
      <c r="AD88" s="5" t="inlineStr">
        <is>
          <t>SAND2012-7321 chapter 2202 Table 4.3.1. 21-6-9 HERF base with 21-6-9 filler, GTA composite weld, heat B83bw. Ref [24]. precharged then tested</t>
        </is>
      </c>
      <c r="AE88" s="6">
        <f>IF(AND($U88="reduction of area",$H88="no"),$Y88,"")</f>
        <v/>
      </c>
      <c r="AF88" s="6">
        <f>IF(AND($U88="reduction of area",$H88="yes"),$Y88,"")</f>
        <v/>
      </c>
    </row>
    <row r="89">
      <c r="A89" s="5" t="inlineStr">
        <is>
          <t>SAND2012-ch2202-T431-B5-RA</t>
        </is>
      </c>
      <c r="B89" s="5" t="inlineStr">
        <is>
          <t>S2</t>
        </is>
      </c>
      <c r="C89" s="5" t="inlineStr">
        <is>
          <t>San Marchi 2012</t>
        </is>
      </c>
      <c r="D89" s="5" t="inlineStr">
        <is>
          <t>21-6-9/21-6-9 weld</t>
        </is>
      </c>
      <c r="E89" s="5" t="n"/>
      <c r="F89" s="5" t="inlineStr">
        <is>
          <t>N-strengthened (21-6-9)</t>
        </is>
      </c>
      <c r="G89" s="5" t="inlineStr">
        <is>
          <t>weld</t>
        </is>
      </c>
      <c r="H89" s="5" t="inlineStr">
        <is>
          <t>yes</t>
        </is>
      </c>
      <c r="I89" s="5" t="inlineStr">
        <is>
          <t>whole joint</t>
        </is>
      </c>
      <c r="J89" s="5" t="inlineStr">
        <is>
          <t>GTAW</t>
        </is>
      </c>
      <c r="K89" s="5" t="inlineStr">
        <is>
          <t>21-6-9</t>
        </is>
      </c>
      <c r="L89" s="5" t="n"/>
      <c r="M89" s="5" t="inlineStr">
        <is>
          <t>gaseous precharge</t>
        </is>
      </c>
      <c r="N89" s="5" t="n">
        <v>0.1</v>
      </c>
      <c r="O89" s="5" t="n">
        <v>72</v>
      </c>
      <c r="P89" s="5" t="n">
        <v>240</v>
      </c>
      <c r="Q89" s="5" t="n">
        <v>295</v>
      </c>
      <c r="R89" s="5" t="n">
        <v>21.9</v>
      </c>
      <c r="S89" s="5" t="n">
        <v>0.00033</v>
      </c>
      <c r="T89" s="5" t="inlineStr">
        <is>
          <t>tensile</t>
        </is>
      </c>
      <c r="U89" s="5" t="inlineStr">
        <is>
          <t>reduction of area</t>
        </is>
      </c>
      <c r="V89" s="5" t="inlineStr">
        <is>
          <t>air</t>
        </is>
      </c>
      <c r="W89" s="5" t="n">
        <v>60</v>
      </c>
      <c r="X89" s="5" t="n">
        <v>50</v>
      </c>
      <c r="Y89" s="5" t="n">
        <v>0.833</v>
      </c>
      <c r="Z89" s="5" t="inlineStr">
        <is>
          <t>moderate loss</t>
        </is>
      </c>
      <c r="AA89" s="5" t="n"/>
      <c r="AB89" s="5" t="inlineStr">
        <is>
          <t>relative_ratio</t>
        </is>
      </c>
      <c r="AC89" s="5" t="inlineStr">
        <is>
          <t>no</t>
        </is>
      </c>
      <c r="AD89" s="5" t="inlineStr">
        <is>
          <t>SAND2012-7321 chapter 2202 Table 4.3.1. 21-6-9 HERF base with 21-6-9 filler, GTA composite weld, heat B83bw. Ref [24]. precharged then tested</t>
        </is>
      </c>
      <c r="AE89" s="6">
        <f>IF(AND($U89="reduction of area",$H89="no"),$Y89,"")</f>
        <v/>
      </c>
      <c r="AF89" s="6">
        <f>IF(AND($U89="reduction of area",$H89="yes"),$Y89,"")</f>
        <v/>
      </c>
    </row>
    <row r="90">
      <c r="A90" s="5" t="inlineStr">
        <is>
          <t>SAND2012-ch2202-T431-B6-EL</t>
        </is>
      </c>
      <c r="B90" s="5" t="inlineStr">
        <is>
          <t>S2</t>
        </is>
      </c>
      <c r="C90" s="5" t="inlineStr">
        <is>
          <t>San Marchi 2012</t>
        </is>
      </c>
      <c r="D90" s="5" t="inlineStr">
        <is>
          <t>21-6-9/21-6-9 weld</t>
        </is>
      </c>
      <c r="E90" s="5" t="n"/>
      <c r="F90" s="5" t="inlineStr">
        <is>
          <t>N-strengthened (21-6-9)</t>
        </is>
      </c>
      <c r="G90" s="5" t="inlineStr">
        <is>
          <t>weld</t>
        </is>
      </c>
      <c r="H90" s="5" t="inlineStr">
        <is>
          <t>yes</t>
        </is>
      </c>
      <c r="I90" s="5" t="inlineStr">
        <is>
          <t>whole joint</t>
        </is>
      </c>
      <c r="J90" s="5" t="inlineStr">
        <is>
          <t>GTAW</t>
        </is>
      </c>
      <c r="K90" s="5" t="inlineStr">
        <is>
          <t>21-6-9</t>
        </is>
      </c>
      <c r="L90" s="5" t="n"/>
      <c r="M90" s="5" t="inlineStr">
        <is>
          <t>gaseous precharge</t>
        </is>
      </c>
      <c r="N90" s="5" t="n">
        <v>172</v>
      </c>
      <c r="O90" s="5" t="n">
        <v>72</v>
      </c>
      <c r="P90" s="5" t="n">
        <v>240</v>
      </c>
      <c r="Q90" s="5" t="n">
        <v>295</v>
      </c>
      <c r="R90" s="5" t="n">
        <v>21.9</v>
      </c>
      <c r="S90" s="5" t="n">
        <v>0.00033</v>
      </c>
      <c r="T90" s="5" t="inlineStr">
        <is>
          <t>tensile</t>
        </is>
      </c>
      <c r="U90" s="5" t="inlineStr">
        <is>
          <t>elongation</t>
        </is>
      </c>
      <c r="V90" s="5" t="inlineStr">
        <is>
          <t>air</t>
        </is>
      </c>
      <c r="W90" s="5" t="n">
        <v>19</v>
      </c>
      <c r="X90" s="5" t="n">
        <v>17</v>
      </c>
      <c r="Y90" s="5" t="n">
        <v>0.895</v>
      </c>
      <c r="Z90" s="5" t="inlineStr">
        <is>
          <t>moderate loss</t>
        </is>
      </c>
      <c r="AA90" s="5" t="n"/>
      <c r="AB90" s="5" t="inlineStr">
        <is>
          <t>relative_ratio</t>
        </is>
      </c>
      <c r="AC90" s="5" t="inlineStr">
        <is>
          <t>no</t>
        </is>
      </c>
      <c r="AD90" s="5" t="inlineStr">
        <is>
          <t>SAND2012-7321 chapter 2202 Table 4.3.1. 21-6-9 HERF base with 21-6-9 filler, GTA composite weld, heat B83bw. Ref [24]. precharged then tested</t>
        </is>
      </c>
      <c r="AE90" s="6">
        <f>IF(AND($U90="reduction of area",$H90="no"),$Y90,"")</f>
        <v/>
      </c>
      <c r="AF90" s="6">
        <f>IF(AND($U90="reduction of area",$H90="yes"),$Y90,"")</f>
        <v/>
      </c>
    </row>
    <row r="91">
      <c r="A91" s="5" t="inlineStr">
        <is>
          <t>SAND2012-ch2202-T431-B6-RA</t>
        </is>
      </c>
      <c r="B91" s="5" t="inlineStr">
        <is>
          <t>S2</t>
        </is>
      </c>
      <c r="C91" s="5" t="inlineStr">
        <is>
          <t>San Marchi 2012</t>
        </is>
      </c>
      <c r="D91" s="5" t="inlineStr">
        <is>
          <t>21-6-9/21-6-9 weld</t>
        </is>
      </c>
      <c r="E91" s="5" t="n"/>
      <c r="F91" s="5" t="inlineStr">
        <is>
          <t>N-strengthened (21-6-9)</t>
        </is>
      </c>
      <c r="G91" s="5" t="inlineStr">
        <is>
          <t>weld</t>
        </is>
      </c>
      <c r="H91" s="5" t="inlineStr">
        <is>
          <t>yes</t>
        </is>
      </c>
      <c r="I91" s="5" t="inlineStr">
        <is>
          <t>whole joint</t>
        </is>
      </c>
      <c r="J91" s="5" t="inlineStr">
        <is>
          <t>GTAW</t>
        </is>
      </c>
      <c r="K91" s="5" t="inlineStr">
        <is>
          <t>21-6-9</t>
        </is>
      </c>
      <c r="L91" s="5" t="n"/>
      <c r="M91" s="5" t="inlineStr">
        <is>
          <t>gaseous precharge</t>
        </is>
      </c>
      <c r="N91" s="5" t="n">
        <v>172</v>
      </c>
      <c r="O91" s="5" t="n">
        <v>72</v>
      </c>
      <c r="P91" s="5" t="n">
        <v>240</v>
      </c>
      <c r="Q91" s="5" t="n">
        <v>295</v>
      </c>
      <c r="R91" s="5" t="n">
        <v>21.9</v>
      </c>
      <c r="S91" s="5" t="n">
        <v>0.00033</v>
      </c>
      <c r="T91" s="5" t="inlineStr">
        <is>
          <t>tensile</t>
        </is>
      </c>
      <c r="U91" s="5" t="inlineStr">
        <is>
          <t>reduction of area</t>
        </is>
      </c>
      <c r="V91" s="5" t="inlineStr">
        <is>
          <t>air</t>
        </is>
      </c>
      <c r="W91" s="5" t="n">
        <v>60</v>
      </c>
      <c r="X91" s="5" t="n">
        <v>49</v>
      </c>
      <c r="Y91" s="5" t="n">
        <v>0.8169999999999999</v>
      </c>
      <c r="Z91" s="5" t="inlineStr">
        <is>
          <t>moderate loss</t>
        </is>
      </c>
      <c r="AA91" s="5" t="n"/>
      <c r="AB91" s="5" t="inlineStr">
        <is>
          <t>relative_ratio</t>
        </is>
      </c>
      <c r="AC91" s="5" t="inlineStr">
        <is>
          <t>no</t>
        </is>
      </c>
      <c r="AD91" s="5" t="inlineStr">
        <is>
          <t>SAND2012-7321 chapter 2202 Table 4.3.1. 21-6-9 HERF base with 21-6-9 filler, GTA composite weld, heat B83bw. Ref [24]. precharged then tested</t>
        </is>
      </c>
      <c r="AE91" s="6">
        <f>IF(AND($U91="reduction of area",$H91="no"),$Y91,"")</f>
        <v/>
      </c>
      <c r="AF91" s="6">
        <f>IF(AND($U91="reduction of area",$H91="yes"),$Y91,"")</f>
        <v/>
      </c>
    </row>
    <row r="92">
      <c r="A92" s="5" t="inlineStr">
        <is>
          <t>SAND2012-ch2202-T431-A1-EL</t>
        </is>
      </c>
      <c r="B92" s="5" t="inlineStr">
        <is>
          <t>S2</t>
        </is>
      </c>
      <c r="C92" s="5" t="inlineStr">
        <is>
          <t>San Marchi 2012</t>
        </is>
      </c>
      <c r="D92" s="5" t="inlineStr">
        <is>
          <t>21-6-9/308L weld</t>
        </is>
      </c>
      <c r="E92" s="5" t="n"/>
      <c r="F92" s="5" t="inlineStr">
        <is>
          <t>N-strengthened (21-6-9)</t>
        </is>
      </c>
      <c r="G92" s="5" t="inlineStr">
        <is>
          <t>weld</t>
        </is>
      </c>
      <c r="H92" s="5" t="inlineStr">
        <is>
          <t>yes</t>
        </is>
      </c>
      <c r="I92" s="5" t="inlineStr">
        <is>
          <t>whole joint</t>
        </is>
      </c>
      <c r="J92" s="5" t="inlineStr">
        <is>
          <t>GTAW</t>
        </is>
      </c>
      <c r="K92" s="5" t="inlineStr">
        <is>
          <t>ER308L</t>
        </is>
      </c>
      <c r="L92" s="5" t="n"/>
      <c r="M92" s="5" t="inlineStr">
        <is>
          <t>gaseous in-situ</t>
        </is>
      </c>
      <c r="N92" s="5" t="n">
        <v>69</v>
      </c>
      <c r="O92" s="5" t="n"/>
      <c r="P92" s="5" t="n"/>
      <c r="Q92" s="5" t="n">
        <v>295</v>
      </c>
      <c r="R92" s="5" t="n">
        <v>21.9</v>
      </c>
      <c r="S92" s="5" t="n">
        <v>0.00033</v>
      </c>
      <c r="T92" s="5" t="inlineStr">
        <is>
          <t>tensile</t>
        </is>
      </c>
      <c r="U92" s="5" t="inlineStr">
        <is>
          <t>elongation</t>
        </is>
      </c>
      <c r="V92" s="5" t="inlineStr">
        <is>
          <t>air</t>
        </is>
      </c>
      <c r="W92" s="5" t="n">
        <v>14</v>
      </c>
      <c r="X92" s="5" t="n">
        <v>14</v>
      </c>
      <c r="Y92" s="5" t="n">
        <v>1</v>
      </c>
      <c r="Z92" s="5" t="inlineStr">
        <is>
          <t>no measurable loss</t>
        </is>
      </c>
      <c r="AA92" s="5" t="n"/>
      <c r="AB92" s="5" t="inlineStr">
        <is>
          <t>relative_ratio</t>
        </is>
      </c>
      <c r="AC92" s="5" t="inlineStr">
        <is>
          <t>no</t>
        </is>
      </c>
      <c r="AD92" s="5" t="inlineStr">
        <is>
          <t>SAND2012-7321 chapter 2202 Table 4.3.1. 21-6-9 HERF base with ER308L filler, GTA composite weld, heat B83aw. Ref [24]. external hydrogen only</t>
        </is>
      </c>
      <c r="AE92" s="6">
        <f>IF(AND($U92="reduction of area",$H92="no"),$Y92,"")</f>
        <v/>
      </c>
      <c r="AF92" s="6">
        <f>IF(AND($U92="reduction of area",$H92="yes"),$Y92,"")</f>
        <v/>
      </c>
    </row>
    <row r="93">
      <c r="A93" s="5" t="inlineStr">
        <is>
          <t>SAND2012-ch2202-T431-A1-RA</t>
        </is>
      </c>
      <c r="B93" s="5" t="inlineStr">
        <is>
          <t>S2</t>
        </is>
      </c>
      <c r="C93" s="5" t="inlineStr">
        <is>
          <t>San Marchi 2012</t>
        </is>
      </c>
      <c r="D93" s="5" t="inlineStr">
        <is>
          <t>21-6-9/308L weld</t>
        </is>
      </c>
      <c r="E93" s="5" t="n"/>
      <c r="F93" s="5" t="inlineStr">
        <is>
          <t>N-strengthened (21-6-9)</t>
        </is>
      </c>
      <c r="G93" s="5" t="inlineStr">
        <is>
          <t>weld</t>
        </is>
      </c>
      <c r="H93" s="5" t="inlineStr">
        <is>
          <t>yes</t>
        </is>
      </c>
      <c r="I93" s="5" t="inlineStr">
        <is>
          <t>whole joint</t>
        </is>
      </c>
      <c r="J93" s="5" t="inlineStr">
        <is>
          <t>GTAW</t>
        </is>
      </c>
      <c r="K93" s="5" t="inlineStr">
        <is>
          <t>ER308L</t>
        </is>
      </c>
      <c r="L93" s="5" t="n"/>
      <c r="M93" s="5" t="inlineStr">
        <is>
          <t>gaseous in-situ</t>
        </is>
      </c>
      <c r="N93" s="5" t="n">
        <v>69</v>
      </c>
      <c r="O93" s="5" t="n"/>
      <c r="P93" s="5" t="n"/>
      <c r="Q93" s="5" t="n">
        <v>295</v>
      </c>
      <c r="R93" s="5" t="n">
        <v>21.9</v>
      </c>
      <c r="S93" s="5" t="n">
        <v>0.00033</v>
      </c>
      <c r="T93" s="5" t="inlineStr">
        <is>
          <t>tensile</t>
        </is>
      </c>
      <c r="U93" s="5" t="inlineStr">
        <is>
          <t>reduction of area</t>
        </is>
      </c>
      <c r="V93" s="5" t="inlineStr">
        <is>
          <t>air</t>
        </is>
      </c>
      <c r="W93" s="5" t="n">
        <v>54</v>
      </c>
      <c r="X93" s="5" t="n">
        <v>57</v>
      </c>
      <c r="Y93" s="5" t="n">
        <v>1.056</v>
      </c>
      <c r="Z93" s="5" t="inlineStr">
        <is>
          <t>no measurable loss</t>
        </is>
      </c>
      <c r="AA93" s="5" t="n"/>
      <c r="AB93" s="5" t="inlineStr">
        <is>
          <t>relative_ratio</t>
        </is>
      </c>
      <c r="AC93" s="5" t="inlineStr">
        <is>
          <t>no</t>
        </is>
      </c>
      <c r="AD93" s="5" t="inlineStr">
        <is>
          <t>SAND2012-7321 chapter 2202 Table 4.3.1. 21-6-9 HERF base with ER308L filler, GTA composite weld, heat B83aw. Ref [24]. external hydrogen only</t>
        </is>
      </c>
      <c r="AE93" s="6">
        <f>IF(AND($U93="reduction of area",$H93="no"),$Y93,"")</f>
        <v/>
      </c>
      <c r="AF93" s="6">
        <f>IF(AND($U93="reduction of area",$H93="yes"),$Y93,"")</f>
        <v/>
      </c>
    </row>
    <row r="94">
      <c r="A94" s="5" t="inlineStr">
        <is>
          <t>SAND2012-ch2202-T431-A2-EL</t>
        </is>
      </c>
      <c r="B94" s="5" t="inlineStr">
        <is>
          <t>S2</t>
        </is>
      </c>
      <c r="C94" s="5" t="inlineStr">
        <is>
          <t>San Marchi 2012</t>
        </is>
      </c>
      <c r="D94" s="5" t="inlineStr">
        <is>
          <t>21-6-9/308L weld</t>
        </is>
      </c>
      <c r="E94" s="5" t="n"/>
      <c r="F94" s="5" t="inlineStr">
        <is>
          <t>N-strengthened (21-6-9)</t>
        </is>
      </c>
      <c r="G94" s="5" t="inlineStr">
        <is>
          <t>weld</t>
        </is>
      </c>
      <c r="H94" s="5" t="inlineStr">
        <is>
          <t>yes</t>
        </is>
      </c>
      <c r="I94" s="5" t="inlineStr">
        <is>
          <t>whole joint</t>
        </is>
      </c>
      <c r="J94" s="5" t="inlineStr">
        <is>
          <t>GTAW</t>
        </is>
      </c>
      <c r="K94" s="5" t="inlineStr">
        <is>
          <t>ER308L</t>
        </is>
      </c>
      <c r="L94" s="5" t="n"/>
      <c r="M94" s="5" t="inlineStr">
        <is>
          <t>gaseous in-situ</t>
        </is>
      </c>
      <c r="N94" s="5" t="n">
        <v>172</v>
      </c>
      <c r="O94" s="5" t="n"/>
      <c r="P94" s="5" t="n"/>
      <c r="Q94" s="5" t="n">
        <v>295</v>
      </c>
      <c r="R94" s="5" t="n">
        <v>21.9</v>
      </c>
      <c r="S94" s="5" t="n">
        <v>0.00033</v>
      </c>
      <c r="T94" s="5" t="inlineStr">
        <is>
          <t>tensile</t>
        </is>
      </c>
      <c r="U94" s="5" t="inlineStr">
        <is>
          <t>elongation</t>
        </is>
      </c>
      <c r="V94" s="5" t="inlineStr">
        <is>
          <t>air</t>
        </is>
      </c>
      <c r="W94" s="5" t="n">
        <v>14</v>
      </c>
      <c r="X94" s="5" t="n">
        <v>15</v>
      </c>
      <c r="Y94" s="5" t="n">
        <v>1.071</v>
      </c>
      <c r="Z94" s="5" t="inlineStr">
        <is>
          <t>no measurable loss</t>
        </is>
      </c>
      <c r="AA94" s="5" t="n"/>
      <c r="AB94" s="5" t="inlineStr">
        <is>
          <t>relative_ratio</t>
        </is>
      </c>
      <c r="AC94" s="5" t="inlineStr">
        <is>
          <t>no</t>
        </is>
      </c>
      <c r="AD94" s="5" t="inlineStr">
        <is>
          <t>SAND2012-7321 chapter 2202 Table 4.3.1. 21-6-9 HERF base with ER308L filler, GTA composite weld, heat B83aw. Ref [24]. external hydrogen only</t>
        </is>
      </c>
      <c r="AE94" s="6">
        <f>IF(AND($U94="reduction of area",$H94="no"),$Y94,"")</f>
        <v/>
      </c>
      <c r="AF94" s="6">
        <f>IF(AND($U94="reduction of area",$H94="yes"),$Y94,"")</f>
        <v/>
      </c>
    </row>
    <row r="95">
      <c r="A95" s="5" t="inlineStr">
        <is>
          <t>SAND2012-ch2202-T431-A2-RA</t>
        </is>
      </c>
      <c r="B95" s="5" t="inlineStr">
        <is>
          <t>S2</t>
        </is>
      </c>
      <c r="C95" s="5" t="inlineStr">
        <is>
          <t>San Marchi 2012</t>
        </is>
      </c>
      <c r="D95" s="5" t="inlineStr">
        <is>
          <t>21-6-9/308L weld</t>
        </is>
      </c>
      <c r="E95" s="5" t="n"/>
      <c r="F95" s="5" t="inlineStr">
        <is>
          <t>N-strengthened (21-6-9)</t>
        </is>
      </c>
      <c r="G95" s="5" t="inlineStr">
        <is>
          <t>weld</t>
        </is>
      </c>
      <c r="H95" s="5" t="inlineStr">
        <is>
          <t>yes</t>
        </is>
      </c>
      <c r="I95" s="5" t="inlineStr">
        <is>
          <t>whole joint</t>
        </is>
      </c>
      <c r="J95" s="5" t="inlineStr">
        <is>
          <t>GTAW</t>
        </is>
      </c>
      <c r="K95" s="5" t="inlineStr">
        <is>
          <t>ER308L</t>
        </is>
      </c>
      <c r="L95" s="5" t="n"/>
      <c r="M95" s="5" t="inlineStr">
        <is>
          <t>gaseous in-situ</t>
        </is>
      </c>
      <c r="N95" s="5" t="n">
        <v>172</v>
      </c>
      <c r="O95" s="5" t="n"/>
      <c r="P95" s="5" t="n"/>
      <c r="Q95" s="5" t="n">
        <v>295</v>
      </c>
      <c r="R95" s="5" t="n">
        <v>21.9</v>
      </c>
      <c r="S95" s="5" t="n">
        <v>0.00033</v>
      </c>
      <c r="T95" s="5" t="inlineStr">
        <is>
          <t>tensile</t>
        </is>
      </c>
      <c r="U95" s="5" t="inlineStr">
        <is>
          <t>reduction of area</t>
        </is>
      </c>
      <c r="V95" s="5" t="inlineStr">
        <is>
          <t>air</t>
        </is>
      </c>
      <c r="W95" s="5" t="n">
        <v>54</v>
      </c>
      <c r="X95" s="5" t="n">
        <v>61</v>
      </c>
      <c r="Y95" s="5" t="n">
        <v>1.13</v>
      </c>
      <c r="Z95" s="5" t="inlineStr">
        <is>
          <t>no measurable loss</t>
        </is>
      </c>
      <c r="AA95" s="5" t="n"/>
      <c r="AB95" s="5" t="inlineStr">
        <is>
          <t>relative_ratio</t>
        </is>
      </c>
      <c r="AC95" s="5" t="inlineStr">
        <is>
          <t>no</t>
        </is>
      </c>
      <c r="AD95" s="5" t="inlineStr">
        <is>
          <t>SAND2012-7321 chapter 2202 Table 4.3.1. 21-6-9 HERF base with ER308L filler, GTA composite weld, heat B83aw. Ref [24]. external hydrogen only</t>
        </is>
      </c>
      <c r="AE95" s="6">
        <f>IF(AND($U95="reduction of area",$H95="no"),$Y95,"")</f>
        <v/>
      </c>
      <c r="AF95" s="6">
        <f>IF(AND($U95="reduction of area",$H95="yes"),$Y95,"")</f>
        <v/>
      </c>
    </row>
    <row r="96">
      <c r="A96" s="5" t="inlineStr">
        <is>
          <t>SAND2012-ch2202-T431-A3-EL</t>
        </is>
      </c>
      <c r="B96" s="5" t="inlineStr">
        <is>
          <t>S2</t>
        </is>
      </c>
      <c r="C96" s="5" t="inlineStr">
        <is>
          <t>San Marchi 2012</t>
        </is>
      </c>
      <c r="D96" s="5" t="inlineStr">
        <is>
          <t>21-6-9/308L weld</t>
        </is>
      </c>
      <c r="E96" s="5" t="n"/>
      <c r="F96" s="5" t="inlineStr">
        <is>
          <t>N-strengthened (21-6-9)</t>
        </is>
      </c>
      <c r="G96" s="5" t="inlineStr">
        <is>
          <t>weld</t>
        </is>
      </c>
      <c r="H96" s="5" t="inlineStr">
        <is>
          <t>yes</t>
        </is>
      </c>
      <c r="I96" s="5" t="inlineStr">
        <is>
          <t>whole joint</t>
        </is>
      </c>
      <c r="J96" s="5" t="inlineStr">
        <is>
          <t>GTAW</t>
        </is>
      </c>
      <c r="K96" s="5" t="inlineStr">
        <is>
          <t>ER308L</t>
        </is>
      </c>
      <c r="L96" s="5" t="n"/>
      <c r="M96" s="5" t="inlineStr">
        <is>
          <t>gaseous precharge</t>
        </is>
      </c>
      <c r="N96" s="5" t="n">
        <v>0.1</v>
      </c>
      <c r="O96" s="5" t="n">
        <v>45</v>
      </c>
      <c r="P96" s="5" t="n">
        <v>240</v>
      </c>
      <c r="Q96" s="5" t="n">
        <v>295</v>
      </c>
      <c r="R96" s="5" t="n">
        <v>21.9</v>
      </c>
      <c r="S96" s="5" t="n">
        <v>0.00033</v>
      </c>
      <c r="T96" s="5" t="inlineStr">
        <is>
          <t>tensile</t>
        </is>
      </c>
      <c r="U96" s="5" t="inlineStr">
        <is>
          <t>elongation</t>
        </is>
      </c>
      <c r="V96" s="5" t="inlineStr">
        <is>
          <t>air</t>
        </is>
      </c>
      <c r="W96" s="5" t="n">
        <v>14</v>
      </c>
      <c r="X96" s="5" t="n">
        <v>12</v>
      </c>
      <c r="Y96" s="5" t="n">
        <v>0.857</v>
      </c>
      <c r="Z96" s="5" t="inlineStr">
        <is>
          <t>moderate loss</t>
        </is>
      </c>
      <c r="AA96" s="5" t="n"/>
      <c r="AB96" s="5" t="inlineStr">
        <is>
          <t>relative_ratio</t>
        </is>
      </c>
      <c r="AC96" s="5" t="inlineStr">
        <is>
          <t>no</t>
        </is>
      </c>
      <c r="AD96" s="5" t="inlineStr">
        <is>
          <t>SAND2012-7321 chapter 2202 Table 4.3.1. 21-6-9 HERF base with ER308L filler, GTA composite weld, heat B83aw. Ref [24]. precharged then tested</t>
        </is>
      </c>
      <c r="AE96" s="6">
        <f>IF(AND($U96="reduction of area",$H96="no"),$Y96,"")</f>
        <v/>
      </c>
      <c r="AF96" s="6">
        <f>IF(AND($U96="reduction of area",$H96="yes"),$Y96,"")</f>
        <v/>
      </c>
    </row>
    <row r="97">
      <c r="A97" s="5" t="inlineStr">
        <is>
          <t>SAND2012-ch2202-T431-A3-RA</t>
        </is>
      </c>
      <c r="B97" s="5" t="inlineStr">
        <is>
          <t>S2</t>
        </is>
      </c>
      <c r="C97" s="5" t="inlineStr">
        <is>
          <t>San Marchi 2012</t>
        </is>
      </c>
      <c r="D97" s="5" t="inlineStr">
        <is>
          <t>21-6-9/308L weld</t>
        </is>
      </c>
      <c r="E97" s="5" t="n"/>
      <c r="F97" s="5" t="inlineStr">
        <is>
          <t>N-strengthened (21-6-9)</t>
        </is>
      </c>
      <c r="G97" s="5" t="inlineStr">
        <is>
          <t>weld</t>
        </is>
      </c>
      <c r="H97" s="5" t="inlineStr">
        <is>
          <t>yes</t>
        </is>
      </c>
      <c r="I97" s="5" t="inlineStr">
        <is>
          <t>whole joint</t>
        </is>
      </c>
      <c r="J97" s="5" t="inlineStr">
        <is>
          <t>GTAW</t>
        </is>
      </c>
      <c r="K97" s="5" t="inlineStr">
        <is>
          <t>ER308L</t>
        </is>
      </c>
      <c r="L97" s="5" t="n"/>
      <c r="M97" s="5" t="inlineStr">
        <is>
          <t>gaseous precharge</t>
        </is>
      </c>
      <c r="N97" s="5" t="n">
        <v>0.1</v>
      </c>
      <c r="O97" s="5" t="n">
        <v>45</v>
      </c>
      <c r="P97" s="5" t="n">
        <v>240</v>
      </c>
      <c r="Q97" s="5" t="n">
        <v>295</v>
      </c>
      <c r="R97" s="5" t="n">
        <v>21.9</v>
      </c>
      <c r="S97" s="5" t="n">
        <v>0.00033</v>
      </c>
      <c r="T97" s="5" t="inlineStr">
        <is>
          <t>tensile</t>
        </is>
      </c>
      <c r="U97" s="5" t="inlineStr">
        <is>
          <t>reduction of area</t>
        </is>
      </c>
      <c r="V97" s="5" t="inlineStr">
        <is>
          <t>air</t>
        </is>
      </c>
      <c r="W97" s="5" t="n">
        <v>54</v>
      </c>
      <c r="X97" s="5" t="n">
        <v>49</v>
      </c>
      <c r="Y97" s="5" t="n">
        <v>0.907</v>
      </c>
      <c r="Z97" s="5" t="inlineStr">
        <is>
          <t>moderate loss</t>
        </is>
      </c>
      <c r="AA97" s="5" t="n"/>
      <c r="AB97" s="5" t="inlineStr">
        <is>
          <t>relative_ratio</t>
        </is>
      </c>
      <c r="AC97" s="5" t="inlineStr">
        <is>
          <t>no</t>
        </is>
      </c>
      <c r="AD97" s="5" t="inlineStr">
        <is>
          <t>SAND2012-7321 chapter 2202 Table 4.3.1. 21-6-9 HERF base with ER308L filler, GTA composite weld, heat B83aw. Ref [24]. precharged then tested</t>
        </is>
      </c>
      <c r="AE97" s="6">
        <f>IF(AND($U97="reduction of area",$H97="no"),$Y97,"")</f>
        <v/>
      </c>
      <c r="AF97" s="6">
        <f>IF(AND($U97="reduction of area",$H97="yes"),$Y97,"")</f>
        <v/>
      </c>
    </row>
    <row r="98">
      <c r="A98" s="5" t="inlineStr">
        <is>
          <t>SAND2012-ch2202-T431-A4-RA</t>
        </is>
      </c>
      <c r="B98" s="5" t="inlineStr">
        <is>
          <t>S2</t>
        </is>
      </c>
      <c r="C98" s="5" t="inlineStr">
        <is>
          <t>San Marchi 2012</t>
        </is>
      </c>
      <c r="D98" s="5" t="inlineStr">
        <is>
          <t>21-6-9/308L weld</t>
        </is>
      </c>
      <c r="E98" s="5" t="n"/>
      <c r="F98" s="5" t="inlineStr">
        <is>
          <t>N-strengthened (21-6-9)</t>
        </is>
      </c>
      <c r="G98" s="5" t="inlineStr">
        <is>
          <t>weld</t>
        </is>
      </c>
      <c r="H98" s="5" t="inlineStr">
        <is>
          <t>yes</t>
        </is>
      </c>
      <c r="I98" s="5" t="inlineStr">
        <is>
          <t>whole joint</t>
        </is>
      </c>
      <c r="J98" s="5" t="inlineStr">
        <is>
          <t>GTAW</t>
        </is>
      </c>
      <c r="K98" s="5" t="inlineStr">
        <is>
          <t>ER308L</t>
        </is>
      </c>
      <c r="L98" s="5" t="n"/>
      <c r="M98" s="5" t="inlineStr">
        <is>
          <t>gaseous precharge</t>
        </is>
      </c>
      <c r="N98" s="5" t="n">
        <v>69</v>
      </c>
      <c r="O98" s="5" t="n">
        <v>45</v>
      </c>
      <c r="P98" s="5" t="n">
        <v>240</v>
      </c>
      <c r="Q98" s="5" t="n">
        <v>295</v>
      </c>
      <c r="R98" s="5" t="n">
        <v>21.9</v>
      </c>
      <c r="S98" s="5" t="n">
        <v>0.00033</v>
      </c>
      <c r="T98" s="5" t="inlineStr">
        <is>
          <t>tensile</t>
        </is>
      </c>
      <c r="U98" s="5" t="inlineStr">
        <is>
          <t>reduction of area</t>
        </is>
      </c>
      <c r="V98" s="5" t="inlineStr">
        <is>
          <t>air</t>
        </is>
      </c>
      <c r="W98" s="5" t="n">
        <v>54</v>
      </c>
      <c r="X98" s="5" t="n">
        <v>43</v>
      </c>
      <c r="Y98" s="5" t="n">
        <v>0.796</v>
      </c>
      <c r="Z98" s="5" t="inlineStr">
        <is>
          <t>significant loss</t>
        </is>
      </c>
      <c r="AA98" s="5" t="n"/>
      <c r="AB98" s="5" t="inlineStr">
        <is>
          <t>relative_ratio</t>
        </is>
      </c>
      <c r="AC98" s="5" t="inlineStr">
        <is>
          <t>no</t>
        </is>
      </c>
      <c r="AD98" s="5" t="inlineStr">
        <is>
          <t>SAND2012-7321 chapter 2202 Table 4.3.1. 21-6-9 HERF base with ER308L filler, GTA composite weld, heat B83aw. Ref [24]. precharged then tested</t>
        </is>
      </c>
      <c r="AE98" s="6">
        <f>IF(AND($U98="reduction of area",$H98="no"),$Y98,"")</f>
        <v/>
      </c>
      <c r="AF98" s="6">
        <f>IF(AND($U98="reduction of area",$H98="yes"),$Y98,"")</f>
        <v/>
      </c>
    </row>
    <row r="99">
      <c r="A99" s="5" t="inlineStr">
        <is>
          <t>SAND2012-ch2202-T431-A5-EL</t>
        </is>
      </c>
      <c r="B99" s="5" t="inlineStr">
        <is>
          <t>S2</t>
        </is>
      </c>
      <c r="C99" s="5" t="inlineStr">
        <is>
          <t>San Marchi 2012</t>
        </is>
      </c>
      <c r="D99" s="5" t="inlineStr">
        <is>
          <t>21-6-9/308L weld</t>
        </is>
      </c>
      <c r="E99" s="5" t="n"/>
      <c r="F99" s="5" t="inlineStr">
        <is>
          <t>N-strengthened (21-6-9)</t>
        </is>
      </c>
      <c r="G99" s="5" t="inlineStr">
        <is>
          <t>weld</t>
        </is>
      </c>
      <c r="H99" s="5" t="inlineStr">
        <is>
          <t>yes</t>
        </is>
      </c>
      <c r="I99" s="5" t="inlineStr">
        <is>
          <t>whole joint</t>
        </is>
      </c>
      <c r="J99" s="5" t="inlineStr">
        <is>
          <t>GTAW</t>
        </is>
      </c>
      <c r="K99" s="5" t="inlineStr">
        <is>
          <t>ER308L</t>
        </is>
      </c>
      <c r="L99" s="5" t="n"/>
      <c r="M99" s="5" t="inlineStr">
        <is>
          <t>gaseous precharge</t>
        </is>
      </c>
      <c r="N99" s="5" t="n">
        <v>0.1</v>
      </c>
      <c r="O99" s="5" t="n">
        <v>72</v>
      </c>
      <c r="P99" s="5" t="n">
        <v>240</v>
      </c>
      <c r="Q99" s="5" t="n">
        <v>295</v>
      </c>
      <c r="R99" s="5" t="n">
        <v>21.9</v>
      </c>
      <c r="S99" s="5" t="n">
        <v>0.00033</v>
      </c>
      <c r="T99" s="5" t="inlineStr">
        <is>
          <t>tensile</t>
        </is>
      </c>
      <c r="U99" s="5" t="inlineStr">
        <is>
          <t>elongation</t>
        </is>
      </c>
      <c r="V99" s="5" t="inlineStr">
        <is>
          <t>air</t>
        </is>
      </c>
      <c r="W99" s="5" t="n">
        <v>14</v>
      </c>
      <c r="X99" s="5" t="n">
        <v>12</v>
      </c>
      <c r="Y99" s="5" t="n">
        <v>0.857</v>
      </c>
      <c r="Z99" s="5" t="inlineStr">
        <is>
          <t>moderate loss</t>
        </is>
      </c>
      <c r="AA99" s="5" t="n"/>
      <c r="AB99" s="5" t="inlineStr">
        <is>
          <t>relative_ratio</t>
        </is>
      </c>
      <c r="AC99" s="5" t="inlineStr">
        <is>
          <t>no</t>
        </is>
      </c>
      <c r="AD99" s="5" t="inlineStr">
        <is>
          <t>SAND2012-7321 chapter 2202 Table 4.3.1. 21-6-9 HERF base with ER308L filler, GTA composite weld, heat B83aw. Ref [24]. precharged then tested</t>
        </is>
      </c>
      <c r="AE99" s="6">
        <f>IF(AND($U99="reduction of area",$H99="no"),$Y99,"")</f>
        <v/>
      </c>
      <c r="AF99" s="6">
        <f>IF(AND($U99="reduction of area",$H99="yes"),$Y99,"")</f>
        <v/>
      </c>
    </row>
    <row r="100">
      <c r="A100" s="5" t="inlineStr">
        <is>
          <t>SAND2012-ch2202-T431-A5-RA</t>
        </is>
      </c>
      <c r="B100" s="5" t="inlineStr">
        <is>
          <t>S2</t>
        </is>
      </c>
      <c r="C100" s="5" t="inlineStr">
        <is>
          <t>San Marchi 2012</t>
        </is>
      </c>
      <c r="D100" s="5" t="inlineStr">
        <is>
          <t>21-6-9/308L weld</t>
        </is>
      </c>
      <c r="E100" s="5" t="n"/>
      <c r="F100" s="5" t="inlineStr">
        <is>
          <t>N-strengthened (21-6-9)</t>
        </is>
      </c>
      <c r="G100" s="5" t="inlineStr">
        <is>
          <t>weld</t>
        </is>
      </c>
      <c r="H100" s="5" t="inlineStr">
        <is>
          <t>yes</t>
        </is>
      </c>
      <c r="I100" s="5" t="inlineStr">
        <is>
          <t>whole joint</t>
        </is>
      </c>
      <c r="J100" s="5" t="inlineStr">
        <is>
          <t>GTAW</t>
        </is>
      </c>
      <c r="K100" s="5" t="inlineStr">
        <is>
          <t>ER308L</t>
        </is>
      </c>
      <c r="L100" s="5" t="n"/>
      <c r="M100" s="5" t="inlineStr">
        <is>
          <t>gaseous precharge</t>
        </is>
      </c>
      <c r="N100" s="5" t="n">
        <v>0.1</v>
      </c>
      <c r="O100" s="5" t="n">
        <v>72</v>
      </c>
      <c r="P100" s="5" t="n">
        <v>240</v>
      </c>
      <c r="Q100" s="5" t="n">
        <v>295</v>
      </c>
      <c r="R100" s="5" t="n">
        <v>21.9</v>
      </c>
      <c r="S100" s="5" t="n">
        <v>0.00033</v>
      </c>
      <c r="T100" s="5" t="inlineStr">
        <is>
          <t>tensile</t>
        </is>
      </c>
      <c r="U100" s="5" t="inlineStr">
        <is>
          <t>reduction of area</t>
        </is>
      </c>
      <c r="V100" s="5" t="inlineStr">
        <is>
          <t>air</t>
        </is>
      </c>
      <c r="W100" s="5" t="n">
        <v>54</v>
      </c>
      <c r="X100" s="5" t="n">
        <v>44</v>
      </c>
      <c r="Y100" s="5" t="n">
        <v>0.8149999999999999</v>
      </c>
      <c r="Z100" s="5" t="inlineStr">
        <is>
          <t>moderate loss</t>
        </is>
      </c>
      <c r="AA100" s="5" t="n"/>
      <c r="AB100" s="5" t="inlineStr">
        <is>
          <t>relative_ratio</t>
        </is>
      </c>
      <c r="AC100" s="5" t="inlineStr">
        <is>
          <t>no</t>
        </is>
      </c>
      <c r="AD100" s="5" t="inlineStr">
        <is>
          <t>SAND2012-7321 chapter 2202 Table 4.3.1. 21-6-9 HERF base with ER308L filler, GTA composite weld, heat B83aw. Ref [24]. precharged then tested</t>
        </is>
      </c>
      <c r="AE100" s="6">
        <f>IF(AND($U100="reduction of area",$H100="no"),$Y100,"")</f>
        <v/>
      </c>
      <c r="AF100" s="6">
        <f>IF(AND($U100="reduction of area",$H100="yes"),$Y100,"")</f>
        <v/>
      </c>
    </row>
    <row r="101">
      <c r="A101" s="5" t="inlineStr">
        <is>
          <t>SAND2012-ch2202-T431-A6-EL</t>
        </is>
      </c>
      <c r="B101" s="5" t="inlineStr">
        <is>
          <t>S2</t>
        </is>
      </c>
      <c r="C101" s="5" t="inlineStr">
        <is>
          <t>San Marchi 2012</t>
        </is>
      </c>
      <c r="D101" s="5" t="inlineStr">
        <is>
          <t>21-6-9/308L weld</t>
        </is>
      </c>
      <c r="E101" s="5" t="n"/>
      <c r="F101" s="5" t="inlineStr">
        <is>
          <t>N-strengthened (21-6-9)</t>
        </is>
      </c>
      <c r="G101" s="5" t="inlineStr">
        <is>
          <t>weld</t>
        </is>
      </c>
      <c r="H101" s="5" t="inlineStr">
        <is>
          <t>yes</t>
        </is>
      </c>
      <c r="I101" s="5" t="inlineStr">
        <is>
          <t>whole joint</t>
        </is>
      </c>
      <c r="J101" s="5" t="inlineStr">
        <is>
          <t>GTAW</t>
        </is>
      </c>
      <c r="K101" s="5" t="inlineStr">
        <is>
          <t>ER308L</t>
        </is>
      </c>
      <c r="L101" s="5" t="n"/>
      <c r="M101" s="5" t="inlineStr">
        <is>
          <t>gaseous precharge</t>
        </is>
      </c>
      <c r="N101" s="5" t="n">
        <v>172</v>
      </c>
      <c r="O101" s="5" t="n">
        <v>72</v>
      </c>
      <c r="P101" s="5" t="n">
        <v>240</v>
      </c>
      <c r="Q101" s="5" t="n">
        <v>295</v>
      </c>
      <c r="R101" s="5" t="n">
        <v>21.9</v>
      </c>
      <c r="S101" s="5" t="n">
        <v>0.00033</v>
      </c>
      <c r="T101" s="5" t="inlineStr">
        <is>
          <t>tensile</t>
        </is>
      </c>
      <c r="U101" s="5" t="inlineStr">
        <is>
          <t>elongation</t>
        </is>
      </c>
      <c r="V101" s="5" t="inlineStr">
        <is>
          <t>air</t>
        </is>
      </c>
      <c r="W101" s="5" t="n">
        <v>14</v>
      </c>
      <c r="X101" s="5" t="n">
        <v>10</v>
      </c>
      <c r="Y101" s="5" t="n">
        <v>0.714</v>
      </c>
      <c r="Z101" s="5" t="inlineStr">
        <is>
          <t>significant loss</t>
        </is>
      </c>
      <c r="AA101" s="5" t="n"/>
      <c r="AB101" s="5" t="inlineStr">
        <is>
          <t>relative_ratio</t>
        </is>
      </c>
      <c r="AC101" s="5" t="inlineStr">
        <is>
          <t>no</t>
        </is>
      </c>
      <c r="AD101" s="5" t="inlineStr">
        <is>
          <t>SAND2012-7321 chapter 2202 Table 4.3.1. 21-6-9 HERF base with ER308L filler, GTA composite weld, heat B83aw. Ref [24]. precharged then tested</t>
        </is>
      </c>
      <c r="AE101" s="6">
        <f>IF(AND($U101="reduction of area",$H101="no"),$Y101,"")</f>
        <v/>
      </c>
      <c r="AF101" s="6">
        <f>IF(AND($U101="reduction of area",$H101="yes"),$Y101,"")</f>
        <v/>
      </c>
    </row>
    <row r="102">
      <c r="A102" s="5" t="inlineStr">
        <is>
          <t>SAND2012-ch2202-T431-A6-RA</t>
        </is>
      </c>
      <c r="B102" s="5" t="inlineStr">
        <is>
          <t>S2</t>
        </is>
      </c>
      <c r="C102" s="5" t="inlineStr">
        <is>
          <t>San Marchi 2012</t>
        </is>
      </c>
      <c r="D102" s="5" t="inlineStr">
        <is>
          <t>21-6-9/308L weld</t>
        </is>
      </c>
      <c r="E102" s="5" t="n"/>
      <c r="F102" s="5" t="inlineStr">
        <is>
          <t>N-strengthened (21-6-9)</t>
        </is>
      </c>
      <c r="G102" s="5" t="inlineStr">
        <is>
          <t>weld</t>
        </is>
      </c>
      <c r="H102" s="5" t="inlineStr">
        <is>
          <t>yes</t>
        </is>
      </c>
      <c r="I102" s="5" t="inlineStr">
        <is>
          <t>whole joint</t>
        </is>
      </c>
      <c r="J102" s="5" t="inlineStr">
        <is>
          <t>GTAW</t>
        </is>
      </c>
      <c r="K102" s="5" t="inlineStr">
        <is>
          <t>ER308L</t>
        </is>
      </c>
      <c r="L102" s="5" t="n"/>
      <c r="M102" s="5" t="inlineStr">
        <is>
          <t>gaseous precharge</t>
        </is>
      </c>
      <c r="N102" s="5" t="n">
        <v>172</v>
      </c>
      <c r="O102" s="5" t="n">
        <v>72</v>
      </c>
      <c r="P102" s="5" t="n">
        <v>240</v>
      </c>
      <c r="Q102" s="5" t="n">
        <v>295</v>
      </c>
      <c r="R102" s="5" t="n">
        <v>21.9</v>
      </c>
      <c r="S102" s="5" t="n">
        <v>0.00033</v>
      </c>
      <c r="T102" s="5" t="inlineStr">
        <is>
          <t>tensile</t>
        </is>
      </c>
      <c r="U102" s="5" t="inlineStr">
        <is>
          <t>reduction of area</t>
        </is>
      </c>
      <c r="V102" s="5" t="inlineStr">
        <is>
          <t>air</t>
        </is>
      </c>
      <c r="W102" s="5" t="n">
        <v>54</v>
      </c>
      <c r="X102" s="5" t="n">
        <v>44</v>
      </c>
      <c r="Y102" s="5" t="n">
        <v>0.8149999999999999</v>
      </c>
      <c r="Z102" s="5" t="inlineStr">
        <is>
          <t>moderate loss</t>
        </is>
      </c>
      <c r="AA102" s="5" t="n"/>
      <c r="AB102" s="5" t="inlineStr">
        <is>
          <t>relative_ratio</t>
        </is>
      </c>
      <c r="AC102" s="5" t="inlineStr">
        <is>
          <t>no</t>
        </is>
      </c>
      <c r="AD102" s="5" t="inlineStr">
        <is>
          <t>SAND2012-7321 chapter 2202 Table 4.3.1. 21-6-9 HERF base with ER308L filler, GTA composite weld, heat B83aw. Ref [24]. precharged then tested</t>
        </is>
      </c>
      <c r="AE102" s="6">
        <f>IF(AND($U102="reduction of area",$H102="no"),$Y102,"")</f>
        <v/>
      </c>
      <c r="AF102" s="6">
        <f>IF(AND($U102="reduction of area",$H102="yes"),$Y102,"")</f>
        <v/>
      </c>
    </row>
    <row r="103">
      <c r="A103" s="5" t="inlineStr">
        <is>
          <t>SAND2012-ch2201-1</t>
        </is>
      </c>
      <c r="B103" s="5" t="inlineStr">
        <is>
          <t>S2</t>
        </is>
      </c>
      <c r="C103" s="5" t="inlineStr">
        <is>
          <t>San Marchi 2012</t>
        </is>
      </c>
      <c r="D103" s="5" t="inlineStr">
        <is>
          <t>22-13-5</t>
        </is>
      </c>
      <c r="E103" s="5" t="inlineStr">
        <is>
          <t>C83</t>
        </is>
      </c>
      <c r="F103" s="5" t="inlineStr">
        <is>
          <t>N-strengthened (22-13-5)</t>
        </is>
      </c>
      <c r="G103" s="5" t="inlineStr">
        <is>
          <t>bar</t>
        </is>
      </c>
      <c r="H103" s="5" t="inlineStr">
        <is>
          <t>no</t>
        </is>
      </c>
      <c r="I103" s="5" t="inlineStr">
        <is>
          <t>base metal</t>
        </is>
      </c>
      <c r="J103" s="5" t="n"/>
      <c r="K103" s="5" t="n"/>
      <c r="L103" s="5" t="n"/>
      <c r="M103" s="5" t="inlineStr">
        <is>
          <t>gaseous in-situ</t>
        </is>
      </c>
      <c r="N103" s="5" t="n">
        <v>69</v>
      </c>
      <c r="O103" s="5" t="n"/>
      <c r="P103" s="5" t="n"/>
      <c r="Q103" s="5" t="n">
        <v>295</v>
      </c>
      <c r="R103" s="5" t="n">
        <v>21.9</v>
      </c>
      <c r="S103" s="5" t="n"/>
      <c r="T103" s="5" t="inlineStr">
        <is>
          <t>tensile</t>
        </is>
      </c>
      <c r="U103" s="5" t="inlineStr">
        <is>
          <t>reduction of area</t>
        </is>
      </c>
      <c r="V103" s="5" t="inlineStr">
        <is>
          <t>helium</t>
        </is>
      </c>
      <c r="W103" s="5" t="n">
        <v>74</v>
      </c>
      <c r="X103" s="5" t="n">
        <v>73</v>
      </c>
      <c r="Y103" s="5" t="n">
        <v>0.986</v>
      </c>
      <c r="Z103" s="5" t="inlineStr">
        <is>
          <t>no measurable loss</t>
        </is>
      </c>
      <c r="AA103" s="5" t="n"/>
      <c r="AB103" s="5" t="inlineStr">
        <is>
          <t>relative_ratio</t>
        </is>
      </c>
      <c r="AC103" s="5" t="inlineStr">
        <is>
          <t>no</t>
        </is>
      </c>
      <c r="AD103" s="5" t="inlineStr">
        <is>
          <t>SAND2012-7321 chapter 2201 Table 3.1.1.1 (22-13-5). As-received bar; no loss. Ref [6,9,18].</t>
        </is>
      </c>
      <c r="AE103" s="6">
        <f>IF(AND($U103="reduction of area",$H103="no"),$Y103,"")</f>
        <v/>
      </c>
      <c r="AF103" s="6">
        <f>IF(AND($U103="reduction of area",$H103="yes"),$Y103,"")</f>
        <v/>
      </c>
    </row>
    <row r="104">
      <c r="A104" s="5" t="inlineStr">
        <is>
          <t>SAND2012-ch2201-2</t>
        </is>
      </c>
      <c r="B104" s="5" t="inlineStr">
        <is>
          <t>S2</t>
        </is>
      </c>
      <c r="C104" s="5" t="inlineStr">
        <is>
          <t>San Marchi 2012</t>
        </is>
      </c>
      <c r="D104" s="5" t="inlineStr">
        <is>
          <t>22-13-5</t>
        </is>
      </c>
      <c r="E104" s="5" t="inlineStr">
        <is>
          <t>O76</t>
        </is>
      </c>
      <c r="F104" s="5" t="inlineStr">
        <is>
          <t>N-strengthened (22-13-5)</t>
        </is>
      </c>
      <c r="G104" s="5" t="inlineStr">
        <is>
          <t>plate</t>
        </is>
      </c>
      <c r="H104" s="5" t="inlineStr">
        <is>
          <t>no</t>
        </is>
      </c>
      <c r="I104" s="5" t="inlineStr">
        <is>
          <t>base metal</t>
        </is>
      </c>
      <c r="J104" s="5" t="n"/>
      <c r="K104" s="5" t="n"/>
      <c r="L104" s="5" t="n"/>
      <c r="M104" s="5" t="inlineStr">
        <is>
          <t>gaseous precharge</t>
        </is>
      </c>
      <c r="N104" s="5" t="n">
        <v>69</v>
      </c>
      <c r="O104" s="5" t="n">
        <v>50</v>
      </c>
      <c r="P104" s="5" t="n">
        <v>252</v>
      </c>
      <c r="Q104" s="5" t="n">
        <v>295</v>
      </c>
      <c r="R104" s="5" t="n">
        <v>21.9</v>
      </c>
      <c r="S104" s="5" t="n">
        <v>0.003</v>
      </c>
      <c r="T104" s="5" t="inlineStr">
        <is>
          <t>tensile</t>
        </is>
      </c>
      <c r="U104" s="5" t="inlineStr">
        <is>
          <t>reduction of area</t>
        </is>
      </c>
      <c r="V104" s="5" t="inlineStr">
        <is>
          <t>air</t>
        </is>
      </c>
      <c r="W104" s="5" t="n">
        <v>67</v>
      </c>
      <c r="X104" s="5" t="n">
        <v>68</v>
      </c>
      <c r="Y104" s="5" t="n">
        <v>1.015</v>
      </c>
      <c r="Z104" s="5" t="inlineStr">
        <is>
          <t>no measurable loss</t>
        </is>
      </c>
      <c r="AA104" s="5" t="n"/>
      <c r="AB104" s="5" t="inlineStr">
        <is>
          <t>relative_ratio</t>
        </is>
      </c>
      <c r="AC104" s="5" t="inlineStr">
        <is>
          <t>no</t>
        </is>
      </c>
      <c r="AD104" s="5" t="inlineStr">
        <is>
          <t>SAND2012-7321 chapter 2201 Table 3.1.1.1 (22-13-5). Annealed plate, precharged 24 MPa 473 K 10.5 d (~50 wppm) then tested in 69 MPa H2; no loss.</t>
        </is>
      </c>
      <c r="AE104" s="6">
        <f>IF(AND($U104="reduction of area",$H104="no"),$Y104,"")</f>
        <v/>
      </c>
      <c r="AF104" s="6">
        <f>IF(AND($U104="reduction of area",$H104="yes"),$Y104,"")</f>
        <v/>
      </c>
    </row>
    <row r="105">
      <c r="A105" s="5" t="inlineStr">
        <is>
          <t>SAND2012-ch2201-3</t>
        </is>
      </c>
      <c r="B105" s="5" t="inlineStr">
        <is>
          <t>S2</t>
        </is>
      </c>
      <c r="C105" s="5" t="inlineStr">
        <is>
          <t>San Marchi 2012</t>
        </is>
      </c>
      <c r="D105" s="5" t="inlineStr">
        <is>
          <t>22-13-5</t>
        </is>
      </c>
      <c r="E105" s="5" t="inlineStr">
        <is>
          <t>O75</t>
        </is>
      </c>
      <c r="F105" s="5" t="inlineStr">
        <is>
          <t>N-strengthened (22-13-5)</t>
        </is>
      </c>
      <c r="G105" s="5" t="inlineStr">
        <is>
          <t>bar</t>
        </is>
      </c>
      <c r="H105" s="5" t="inlineStr">
        <is>
          <t>no</t>
        </is>
      </c>
      <c r="I105" s="5" t="inlineStr">
        <is>
          <t>base metal</t>
        </is>
      </c>
      <c r="J105" s="5" t="n"/>
      <c r="K105" s="5" t="n"/>
      <c r="L105" s="5" t="n"/>
      <c r="M105" s="5" t="inlineStr">
        <is>
          <t>gaseous in-situ</t>
        </is>
      </c>
      <c r="N105" s="5" t="n">
        <v>69</v>
      </c>
      <c r="O105" s="5" t="n"/>
      <c r="P105" s="5" t="n"/>
      <c r="Q105" s="5" t="n">
        <v>295</v>
      </c>
      <c r="R105" s="5" t="n">
        <v>21.9</v>
      </c>
      <c r="S105" s="5" t="n">
        <v>0.0003</v>
      </c>
      <c r="T105" s="5" t="inlineStr">
        <is>
          <t>tensile</t>
        </is>
      </c>
      <c r="U105" s="5" t="inlineStr">
        <is>
          <t>reduction of area</t>
        </is>
      </c>
      <c r="V105" s="5" t="inlineStr">
        <is>
          <t>air</t>
        </is>
      </c>
      <c r="W105" s="5" t="n">
        <v>66</v>
      </c>
      <c r="X105" s="5" t="n">
        <v>67</v>
      </c>
      <c r="Y105" s="5" t="n">
        <v>1.015</v>
      </c>
      <c r="Z105" s="5" t="inlineStr">
        <is>
          <t>no measurable loss</t>
        </is>
      </c>
      <c r="AA105" s="5" t="n"/>
      <c r="AB105" s="5" t="inlineStr">
        <is>
          <t>relative_ratio</t>
        </is>
      </c>
      <c r="AC105" s="5" t="inlineStr">
        <is>
          <t>no</t>
        </is>
      </c>
      <c r="AD105" s="5" t="inlineStr">
        <is>
          <t>SAND2012-7321 chapter 2201 Table 3.1.1.1 (22-13-5). Warm-worked bar; no loss. Ref [17].</t>
        </is>
      </c>
      <c r="AE105" s="6">
        <f>IF(AND($U105="reduction of area",$H105="no"),$Y105,"")</f>
        <v/>
      </c>
      <c r="AF105" s="6">
        <f>IF(AND($U105="reduction of area",$H105="yes"),$Y105,"")</f>
        <v/>
      </c>
    </row>
    <row r="106">
      <c r="A106" s="5" t="inlineStr">
        <is>
          <t>SAND2012-ch2201-4</t>
        </is>
      </c>
      <c r="B106" s="5" t="inlineStr">
        <is>
          <t>S2</t>
        </is>
      </c>
      <c r="C106" s="5" t="inlineStr">
        <is>
          <t>San Marchi 2012</t>
        </is>
      </c>
      <c r="D106" s="5" t="inlineStr">
        <is>
          <t>22-13-5 HERF</t>
        </is>
      </c>
      <c r="E106" s="5" t="inlineStr">
        <is>
          <t>O75</t>
        </is>
      </c>
      <c r="F106" s="5" t="inlineStr">
        <is>
          <t>N-strengthened (22-13-5)</t>
        </is>
      </c>
      <c r="G106" s="5" t="inlineStr">
        <is>
          <t>bar</t>
        </is>
      </c>
      <c r="H106" s="5" t="inlineStr">
        <is>
          <t>no</t>
        </is>
      </c>
      <c r="I106" s="5" t="inlineStr">
        <is>
          <t>base metal</t>
        </is>
      </c>
      <c r="J106" s="5" t="n"/>
      <c r="K106" s="5" t="n"/>
      <c r="L106" s="5" t="n"/>
      <c r="M106" s="5" t="inlineStr">
        <is>
          <t>gaseous in-situ</t>
        </is>
      </c>
      <c r="N106" s="5" t="n">
        <v>69</v>
      </c>
      <c r="O106" s="5" t="n"/>
      <c r="P106" s="5" t="n"/>
      <c r="Q106" s="5" t="n">
        <v>295</v>
      </c>
      <c r="R106" s="5" t="n">
        <v>21.9</v>
      </c>
      <c r="S106" s="5" t="n">
        <v>0.0003</v>
      </c>
      <c r="T106" s="5" t="inlineStr">
        <is>
          <t>tensile</t>
        </is>
      </c>
      <c r="U106" s="5" t="inlineStr">
        <is>
          <t>reduction of area</t>
        </is>
      </c>
      <c r="V106" s="5" t="inlineStr">
        <is>
          <t>air</t>
        </is>
      </c>
      <c r="W106" s="5" t="n">
        <v>20</v>
      </c>
      <c r="X106" s="5" t="n">
        <v>29.5</v>
      </c>
      <c r="Y106" s="5" t="n">
        <v>1.475</v>
      </c>
      <c r="Z106" s="5" t="inlineStr">
        <is>
          <t>no measurable loss</t>
        </is>
      </c>
      <c r="AA106" s="5" t="n"/>
      <c r="AB106" s="5" t="inlineStr">
        <is>
          <t>relative_ratio</t>
        </is>
      </c>
      <c r="AC106" s="5" t="inlineStr">
        <is>
          <t>no</t>
        </is>
      </c>
      <c r="AD106" s="5" t="inlineStr">
        <is>
          <t>SAND2012-7321 chapter 2201 Table 3.1.1.1 (22-13-5). HERF; low ductility in both environments. Ref [17].</t>
        </is>
      </c>
      <c r="AE106" s="6">
        <f>IF(AND($U106="reduction of area",$H106="no"),$Y106,"")</f>
        <v/>
      </c>
      <c r="AF106" s="6">
        <f>IF(AND($U106="reduction of area",$H106="yes"),$Y106,"")</f>
        <v/>
      </c>
    </row>
    <row r="107">
      <c r="A107" s="5" t="inlineStr">
        <is>
          <t>CASKEY-T3-3-EL</t>
        </is>
      </c>
      <c r="B107" s="5" t="inlineStr">
        <is>
          <t>S1</t>
        </is>
      </c>
      <c r="C107" s="5" t="inlineStr">
        <is>
          <t>Caskey 1983</t>
        </is>
      </c>
      <c r="D107" s="5" t="inlineStr">
        <is>
          <t>310</t>
        </is>
      </c>
      <c r="E107" s="5" t="n"/>
      <c r="F107" s="5" t="inlineStr">
        <is>
          <t>high-Ni austenitic (310)</t>
        </is>
      </c>
      <c r="G107" s="5" t="inlineStr">
        <is>
          <t>unknown</t>
        </is>
      </c>
      <c r="H107" s="5" t="inlineStr">
        <is>
          <t>no</t>
        </is>
      </c>
      <c r="I107" s="5" t="inlineStr">
        <is>
          <t>base metal</t>
        </is>
      </c>
      <c r="J107" s="5" t="n"/>
      <c r="K107" s="5" t="n"/>
      <c r="L107" s="5" t="n"/>
      <c r="M107" s="5" t="inlineStr">
        <is>
          <t>gaseous in-situ</t>
        </is>
      </c>
      <c r="N107" s="5" t="n">
        <v>69</v>
      </c>
      <c r="O107" s="5" t="n"/>
      <c r="P107" s="5" t="n"/>
      <c r="Q107" s="5" t="n">
        <v>295</v>
      </c>
      <c r="R107" s="5" t="n">
        <v>21.9</v>
      </c>
      <c r="S107" s="5" t="n"/>
      <c r="T107" s="5" t="inlineStr">
        <is>
          <t>tensile</t>
        </is>
      </c>
      <c r="U107" s="5" t="inlineStr">
        <is>
          <t>elongation</t>
        </is>
      </c>
      <c r="V107" s="5" t="inlineStr">
        <is>
          <t>helium</t>
        </is>
      </c>
      <c r="W107" s="5" t="n">
        <v>67</v>
      </c>
      <c r="X107" s="5" t="n">
        <v>66</v>
      </c>
      <c r="Y107" s="5" t="n">
        <v>0.985</v>
      </c>
      <c r="Z107" s="5" t="inlineStr">
        <is>
          <t>no measurable loss</t>
        </is>
      </c>
      <c r="AA107" s="5" t="n"/>
      <c r="AB107" s="5" t="inlineStr">
        <is>
          <t>relative_ratio</t>
        </is>
      </c>
      <c r="AC107" s="5" t="inlineStr">
        <is>
          <t>yes</t>
        </is>
      </c>
      <c r="AD107" s="5" t="inlineStr">
        <is>
          <t>Caskey DP-1643 Table 3. Condition: annealed. Reference environment 69 MPa helium, not air. stable austenite Composition from Caskey Table A-1 (nominal).</t>
        </is>
      </c>
      <c r="AE107" s="6">
        <f>IF(AND($U107="reduction of area",$H107="no"),$Y107,"")</f>
        <v/>
      </c>
      <c r="AF107" s="6">
        <f>IF(AND($U107="reduction of area",$H107="yes"),$Y107,"")</f>
        <v/>
      </c>
    </row>
    <row r="108">
      <c r="A108" s="5" t="inlineStr">
        <is>
          <t>CASKEY-T3-3-RA</t>
        </is>
      </c>
      <c r="B108" s="5" t="inlineStr">
        <is>
          <t>S1</t>
        </is>
      </c>
      <c r="C108" s="5" t="inlineStr">
        <is>
          <t>Caskey 1983</t>
        </is>
      </c>
      <c r="D108" s="5" t="inlineStr">
        <is>
          <t>310</t>
        </is>
      </c>
      <c r="E108" s="5" t="n"/>
      <c r="F108" s="5" t="inlineStr">
        <is>
          <t>high-Ni austenitic (310)</t>
        </is>
      </c>
      <c r="G108" s="5" t="inlineStr">
        <is>
          <t>unknown</t>
        </is>
      </c>
      <c r="H108" s="5" t="inlineStr">
        <is>
          <t>no</t>
        </is>
      </c>
      <c r="I108" s="5" t="inlineStr">
        <is>
          <t>base metal</t>
        </is>
      </c>
      <c r="J108" s="5" t="n"/>
      <c r="K108" s="5" t="n"/>
      <c r="L108" s="5" t="n"/>
      <c r="M108" s="5" t="inlineStr">
        <is>
          <t>gaseous in-situ</t>
        </is>
      </c>
      <c r="N108" s="5" t="n">
        <v>69</v>
      </c>
      <c r="O108" s="5" t="n"/>
      <c r="P108" s="5" t="n"/>
      <c r="Q108" s="5" t="n">
        <v>295</v>
      </c>
      <c r="R108" s="5" t="n">
        <v>21.9</v>
      </c>
      <c r="S108" s="5" t="n"/>
      <c r="T108" s="5" t="inlineStr">
        <is>
          <t>tensile</t>
        </is>
      </c>
      <c r="U108" s="5" t="inlineStr">
        <is>
          <t>reduction of area</t>
        </is>
      </c>
      <c r="V108" s="5" t="inlineStr">
        <is>
          <t>helium</t>
        </is>
      </c>
      <c r="W108" s="5" t="n">
        <v>82</v>
      </c>
      <c r="X108" s="5" t="n">
        <v>79</v>
      </c>
      <c r="Y108" s="5" t="n">
        <v>0.963</v>
      </c>
      <c r="Z108" s="5" t="inlineStr">
        <is>
          <t>no measurable loss</t>
        </is>
      </c>
      <c r="AA108" s="5" t="n"/>
      <c r="AB108" s="5" t="inlineStr">
        <is>
          <t>relative_ratio</t>
        </is>
      </c>
      <c r="AC108" s="5" t="inlineStr">
        <is>
          <t>yes</t>
        </is>
      </c>
      <c r="AD108" s="5" t="inlineStr">
        <is>
          <t>Caskey DP-1643 Table 3. Condition: annealed. Reference environment 69 MPa helium, not air. stable austenite Composition from Caskey Table A-1 (nominal).</t>
        </is>
      </c>
      <c r="AE108" s="6">
        <f>IF(AND($U108="reduction of area",$H108="no"),$Y108,"")</f>
        <v/>
      </c>
      <c r="AF108" s="6">
        <f>IF(AND($U108="reduction of area",$H108="yes"),$Y108,"")</f>
        <v/>
      </c>
    </row>
    <row r="109">
      <c r="A109" s="5" t="inlineStr">
        <is>
          <t>CASKEY-T3-4-EL</t>
        </is>
      </c>
      <c r="B109" s="5" t="inlineStr">
        <is>
          <t>S1</t>
        </is>
      </c>
      <c r="C109" s="5" t="inlineStr">
        <is>
          <t>Caskey 1983</t>
        </is>
      </c>
      <c r="D109" s="5" t="inlineStr">
        <is>
          <t>310</t>
        </is>
      </c>
      <c r="E109" s="5" t="n"/>
      <c r="F109" s="5" t="inlineStr">
        <is>
          <t>high-Ni austenitic (310)</t>
        </is>
      </c>
      <c r="G109" s="5" t="inlineStr">
        <is>
          <t>unknown</t>
        </is>
      </c>
      <c r="H109" s="5" t="inlineStr">
        <is>
          <t>no</t>
        </is>
      </c>
      <c r="I109" s="5" t="inlineStr">
        <is>
          <t>base metal</t>
        </is>
      </c>
      <c r="J109" s="5" t="n"/>
      <c r="K109" s="5" t="n"/>
      <c r="L109" s="5" t="n"/>
      <c r="M109" s="5" t="inlineStr">
        <is>
          <t>gaseous in-situ</t>
        </is>
      </c>
      <c r="N109" s="5" t="n">
        <v>69</v>
      </c>
      <c r="O109" s="5" t="n"/>
      <c r="P109" s="5" t="n"/>
      <c r="Q109" s="5" t="n">
        <v>295</v>
      </c>
      <c r="R109" s="5" t="n">
        <v>21.9</v>
      </c>
      <c r="S109" s="5" t="n"/>
      <c r="T109" s="5" t="inlineStr">
        <is>
          <t>tensile</t>
        </is>
      </c>
      <c r="U109" s="5" t="inlineStr">
        <is>
          <t>elongation</t>
        </is>
      </c>
      <c r="V109" s="5" t="inlineStr">
        <is>
          <t>helium</t>
        </is>
      </c>
      <c r="W109" s="5" t="n">
        <v>21</v>
      </c>
      <c r="X109" s="5" t="n">
        <v>24</v>
      </c>
      <c r="Y109" s="5" t="n">
        <v>1.143</v>
      </c>
      <c r="Z109" s="5" t="inlineStr">
        <is>
          <t>no measurable loss</t>
        </is>
      </c>
      <c r="AA109" s="5" t="n"/>
      <c r="AB109" s="5" t="inlineStr">
        <is>
          <t>relative_ratio</t>
        </is>
      </c>
      <c r="AC109" s="5" t="inlineStr">
        <is>
          <t>yes</t>
        </is>
      </c>
      <c r="AD109" s="5" t="inlineStr">
        <is>
          <t>Caskey DP-1643 Table 3. Condition: HERF. Reference environment 69 MPa helium, not air. stable austenite Composition from Caskey Table A-1 (nominal).</t>
        </is>
      </c>
      <c r="AE109" s="6">
        <f>IF(AND($U109="reduction of area",$H109="no"),$Y109,"")</f>
        <v/>
      </c>
      <c r="AF109" s="6">
        <f>IF(AND($U109="reduction of area",$H109="yes"),$Y109,"")</f>
        <v/>
      </c>
    </row>
    <row r="110">
      <c r="A110" s="5" t="inlineStr">
        <is>
          <t>CASKEY-T3-4-RA</t>
        </is>
      </c>
      <c r="B110" s="5" t="inlineStr">
        <is>
          <t>S1</t>
        </is>
      </c>
      <c r="C110" s="5" t="inlineStr">
        <is>
          <t>Caskey 1983</t>
        </is>
      </c>
      <c r="D110" s="5" t="inlineStr">
        <is>
          <t>310</t>
        </is>
      </c>
      <c r="E110" s="5" t="n"/>
      <c r="F110" s="5" t="inlineStr">
        <is>
          <t>high-Ni austenitic (310)</t>
        </is>
      </c>
      <c r="G110" s="5" t="inlineStr">
        <is>
          <t>unknown</t>
        </is>
      </c>
      <c r="H110" s="5" t="inlineStr">
        <is>
          <t>no</t>
        </is>
      </c>
      <c r="I110" s="5" t="inlineStr">
        <is>
          <t>base metal</t>
        </is>
      </c>
      <c r="J110" s="5" t="n"/>
      <c r="K110" s="5" t="n"/>
      <c r="L110" s="5" t="n"/>
      <c r="M110" s="5" t="inlineStr">
        <is>
          <t>gaseous in-situ</t>
        </is>
      </c>
      <c r="N110" s="5" t="n">
        <v>69</v>
      </c>
      <c r="O110" s="5" t="n"/>
      <c r="P110" s="5" t="n"/>
      <c r="Q110" s="5" t="n">
        <v>295</v>
      </c>
      <c r="R110" s="5" t="n">
        <v>21.9</v>
      </c>
      <c r="S110" s="5" t="n"/>
      <c r="T110" s="5" t="inlineStr">
        <is>
          <t>tensile</t>
        </is>
      </c>
      <c r="U110" s="5" t="inlineStr">
        <is>
          <t>reduction of area</t>
        </is>
      </c>
      <c r="V110" s="5" t="inlineStr">
        <is>
          <t>helium</t>
        </is>
      </c>
      <c r="W110" s="5" t="n">
        <v>71</v>
      </c>
      <c r="X110" s="5" t="n">
        <v>70</v>
      </c>
      <c r="Y110" s="5" t="n">
        <v>0.986</v>
      </c>
      <c r="Z110" s="5" t="inlineStr">
        <is>
          <t>no measurable loss</t>
        </is>
      </c>
      <c r="AA110" s="5" t="n"/>
      <c r="AB110" s="5" t="inlineStr">
        <is>
          <t>relative_ratio</t>
        </is>
      </c>
      <c r="AC110" s="5" t="inlineStr">
        <is>
          <t>yes</t>
        </is>
      </c>
      <c r="AD110" s="5" t="inlineStr">
        <is>
          <t>Caskey DP-1643 Table 3. Condition: HERF. Reference environment 69 MPa helium, not air. stable austenite Composition from Caskey Table A-1 (nominal).</t>
        </is>
      </c>
      <c r="AE110" s="6">
        <f>IF(AND($U110="reduction of area",$H110="no"),$Y110,"")</f>
        <v/>
      </c>
      <c r="AF110" s="6">
        <f>IF(AND($U110="reduction of area",$H110="yes"),$Y110,"")</f>
        <v/>
      </c>
    </row>
    <row r="111">
      <c r="A111" s="5" t="inlineStr">
        <is>
          <t>SAND2012-ch1600-ANN</t>
        </is>
      </c>
      <c r="B111" s="5" t="inlineStr">
        <is>
          <t>S2</t>
        </is>
      </c>
      <c r="C111" s="5" t="inlineStr">
        <is>
          <t>San Marchi 2012</t>
        </is>
      </c>
      <c r="D111" s="5" t="inlineStr">
        <is>
          <t>2507 duplex</t>
        </is>
      </c>
      <c r="E111" s="5" t="inlineStr">
        <is>
          <t>S07</t>
        </is>
      </c>
      <c r="F111" s="5" t="inlineStr">
        <is>
          <t>duplex</t>
        </is>
      </c>
      <c r="G111" s="5" t="inlineStr">
        <is>
          <t>unknown</t>
        </is>
      </c>
      <c r="H111" s="5" t="inlineStr">
        <is>
          <t>no</t>
        </is>
      </c>
      <c r="I111" s="5" t="inlineStr">
        <is>
          <t>base metal</t>
        </is>
      </c>
      <c r="J111" s="5" t="n"/>
      <c r="K111" s="5" t="n"/>
      <c r="L111" s="5" t="n"/>
      <c r="M111" s="5" t="inlineStr">
        <is>
          <t>gaseous precharge</t>
        </is>
      </c>
      <c r="N111" s="5" t="n">
        <v>138</v>
      </c>
      <c r="O111" s="5" t="n">
        <v>125</v>
      </c>
      <c r="P111" s="5" t="n">
        <v>240</v>
      </c>
      <c r="Q111" s="5" t="n">
        <v>295</v>
      </c>
      <c r="R111" s="5" t="n">
        <v>21.9</v>
      </c>
      <c r="S111" s="5" t="n">
        <v>0.0012</v>
      </c>
      <c r="T111" s="5" t="inlineStr">
        <is>
          <t>tensile</t>
        </is>
      </c>
      <c r="U111" s="5" t="inlineStr">
        <is>
          <t>reduction of area</t>
        </is>
      </c>
      <c r="V111" s="5" t="inlineStr">
        <is>
          <t>uncharged</t>
        </is>
      </c>
      <c r="W111" s="5" t="n">
        <v>85</v>
      </c>
      <c r="X111" s="5" t="n">
        <v>46</v>
      </c>
      <c r="Y111" s="5" t="n">
        <v>0.541</v>
      </c>
      <c r="Z111" s="5" t="inlineStr">
        <is>
          <t>significant loss</t>
        </is>
      </c>
      <c r="AA111" s="5" t="n"/>
      <c r="AB111" s="5" t="inlineStr">
        <is>
          <t>relative_ratio</t>
        </is>
      </c>
      <c r="AC111" s="5" t="inlineStr">
        <is>
          <t>no</t>
        </is>
      </c>
      <c r="AD111" s="5" t="inlineStr">
        <is>
          <t>SAND2012-7321 chapter 1600 Table 3.1.1.1. Duplex 2507; precharged 138 MPa H2, 573 K, 240 h to saturation (125 wppm), tested in air. Ref [6]. Annealed.</t>
        </is>
      </c>
      <c r="AE111" s="6">
        <f>IF(AND($U111="reduction of area",$H111="no"),$Y111,"")</f>
        <v/>
      </c>
      <c r="AF111" s="6">
        <f>IF(AND($U111="reduction of area",$H111="yes"),$Y111,"")</f>
        <v/>
      </c>
    </row>
    <row r="112">
      <c r="A112" s="5" t="inlineStr">
        <is>
          <t>SAND2012-ch1600-SH</t>
        </is>
      </c>
      <c r="B112" s="5" t="inlineStr">
        <is>
          <t>S2</t>
        </is>
      </c>
      <c r="C112" s="5" t="inlineStr">
        <is>
          <t>San Marchi 2012</t>
        </is>
      </c>
      <c r="D112" s="5" t="inlineStr">
        <is>
          <t>2507 duplex</t>
        </is>
      </c>
      <c r="E112" s="5" t="inlineStr">
        <is>
          <t>S07</t>
        </is>
      </c>
      <c r="F112" s="5" t="inlineStr">
        <is>
          <t>duplex</t>
        </is>
      </c>
      <c r="G112" s="5" t="inlineStr">
        <is>
          <t>unknown</t>
        </is>
      </c>
      <c r="H112" s="5" t="inlineStr">
        <is>
          <t>no</t>
        </is>
      </c>
      <c r="I112" s="5" t="inlineStr">
        <is>
          <t>base metal</t>
        </is>
      </c>
      <c r="J112" s="5" t="n"/>
      <c r="K112" s="5" t="n"/>
      <c r="L112" s="5" t="n"/>
      <c r="M112" s="5" t="inlineStr">
        <is>
          <t>gaseous precharge</t>
        </is>
      </c>
      <c r="N112" s="5" t="n">
        <v>138</v>
      </c>
      <c r="O112" s="5" t="n">
        <v>125</v>
      </c>
      <c r="P112" s="5" t="n">
        <v>240</v>
      </c>
      <c r="Q112" s="5" t="n">
        <v>295</v>
      </c>
      <c r="R112" s="5" t="n">
        <v>21.9</v>
      </c>
      <c r="S112" s="5" t="n">
        <v>0.0012</v>
      </c>
      <c r="T112" s="5" t="inlineStr">
        <is>
          <t>tensile</t>
        </is>
      </c>
      <c r="U112" s="5" t="inlineStr">
        <is>
          <t>reduction of area</t>
        </is>
      </c>
      <c r="V112" s="5" t="inlineStr">
        <is>
          <t>uncharged</t>
        </is>
      </c>
      <c r="W112" s="5" t="n">
        <v>80</v>
      </c>
      <c r="X112" s="5" t="n">
        <v>25</v>
      </c>
      <c r="Y112" s="5" t="n">
        <v>0.312</v>
      </c>
      <c r="Z112" s="5" t="inlineStr">
        <is>
          <t>significant loss</t>
        </is>
      </c>
      <c r="AA112" s="5" t="n"/>
      <c r="AB112" s="5" t="inlineStr">
        <is>
          <t>relative_ratio</t>
        </is>
      </c>
      <c r="AC112" s="5" t="inlineStr">
        <is>
          <t>no</t>
        </is>
      </c>
      <c r="AD112" s="5" t="inlineStr">
        <is>
          <t>SAND2012-7321 chapter 1600 Table 3.1.1.1. Duplex 2507; precharged 138 MPa H2, 573 K, 240 h to saturation (125 wppm), tested in air. Ref [6]. Strain-hardened.</t>
        </is>
      </c>
      <c r="AE112" s="6">
        <f>IF(AND($U112="reduction of area",$H112="no"),$Y112,"")</f>
        <v/>
      </c>
      <c r="AF112" s="6">
        <f>IF(AND($U112="reduction of area",$H112="yes"),$Y112,"")</f>
        <v/>
      </c>
    </row>
    <row r="113">
      <c r="A113" s="5" t="inlineStr">
        <is>
          <t>FUKU24-A286-EL</t>
        </is>
      </c>
      <c r="B113" s="5" t="inlineStr">
        <is>
          <t>S8</t>
        </is>
      </c>
      <c r="C113" s="5" t="inlineStr">
        <is>
          <t>Fukunaga 2024</t>
        </is>
      </c>
      <c r="D113" s="5" t="inlineStr">
        <is>
          <t>A286 (Fe-base superalloy)</t>
        </is>
      </c>
      <c r="E113" s="5" t="n"/>
      <c r="F113" s="5" t="inlineStr">
        <is>
          <t>precipitation-strengthened (A286)</t>
        </is>
      </c>
      <c r="G113" s="5" t="inlineStr">
        <is>
          <t>tube</t>
        </is>
      </c>
      <c r="H113" s="5" t="inlineStr">
        <is>
          <t>no</t>
        </is>
      </c>
      <c r="I113" s="5" t="inlineStr">
        <is>
          <t>base metal</t>
        </is>
      </c>
      <c r="J113" s="5" t="n"/>
      <c r="K113" s="5" t="n"/>
      <c r="L113" s="5" t="n"/>
      <c r="M113" s="5" t="inlineStr">
        <is>
          <t>gaseous in-situ</t>
        </is>
      </c>
      <c r="N113" s="5" t="n">
        <v>70</v>
      </c>
      <c r="O113" s="5" t="n"/>
      <c r="P113" s="5" t="n"/>
      <c r="Q113" s="5" t="n">
        <v>423</v>
      </c>
      <c r="R113" s="5" t="n">
        <v>149.9</v>
      </c>
      <c r="S113" s="5" t="n"/>
      <c r="T113" s="5" t="inlineStr">
        <is>
          <t>SSRT</t>
        </is>
      </c>
      <c r="U113" s="5" t="inlineStr">
        <is>
          <t>elongation</t>
        </is>
      </c>
      <c r="V113" s="5" t="inlineStr">
        <is>
          <t>air</t>
        </is>
      </c>
      <c r="W113" s="5" t="n">
        <v>23</v>
      </c>
      <c r="X113" s="5" t="n">
        <v>20</v>
      </c>
      <c r="Y113" s="5" t="n">
        <v>0.87</v>
      </c>
      <c r="Z113" s="5" t="inlineStr">
        <is>
          <t>moderate loss</t>
        </is>
      </c>
      <c r="AA113" s="5" t="n"/>
      <c r="AB113" s="5" t="inlineStr">
        <is>
          <t>relative_ratio</t>
        </is>
      </c>
      <c r="AC113" s="5" t="inlineStr">
        <is>
          <t>no</t>
        </is>
      </c>
      <c r="AD113" s="5" t="inlineStr">
        <is>
          <t>Fukunaga, Engineering Failure Analysis 160 (2024) 108158. SSRT on piping removed from a hydrogen refuelling station after two years of service. Elongation at break, 70 MPa H2 at 150 C vs air.</t>
        </is>
      </c>
      <c r="AE113" s="6">
        <f>IF(AND($U113="reduction of area",$H113="no"),$Y113,"")</f>
        <v/>
      </c>
      <c r="AF113" s="6">
        <f>IF(AND($U113="reduction of area",$H113="yes"),$Y113,"")</f>
        <v/>
      </c>
    </row>
    <row r="114">
      <c r="A114" s="5" t="inlineStr">
        <is>
          <t>FUKU24-A286-RA</t>
        </is>
      </c>
      <c r="B114" s="5" t="inlineStr">
        <is>
          <t>S8</t>
        </is>
      </c>
      <c r="C114" s="5" t="inlineStr">
        <is>
          <t>Fukunaga 2024</t>
        </is>
      </c>
      <c r="D114" s="5" t="inlineStr">
        <is>
          <t>A286 (Fe-base superalloy)</t>
        </is>
      </c>
      <c r="E114" s="5" t="n"/>
      <c r="F114" s="5" t="inlineStr">
        <is>
          <t>precipitation-strengthened (A286)</t>
        </is>
      </c>
      <c r="G114" s="5" t="inlineStr">
        <is>
          <t>tube</t>
        </is>
      </c>
      <c r="H114" s="5" t="inlineStr">
        <is>
          <t>no</t>
        </is>
      </c>
      <c r="I114" s="5" t="inlineStr">
        <is>
          <t>base metal</t>
        </is>
      </c>
      <c r="J114" s="5" t="n"/>
      <c r="K114" s="5" t="n"/>
      <c r="L114" s="5" t="n"/>
      <c r="M114" s="5" t="inlineStr">
        <is>
          <t>gaseous in-situ</t>
        </is>
      </c>
      <c r="N114" s="5" t="n">
        <v>70</v>
      </c>
      <c r="O114" s="5" t="n"/>
      <c r="P114" s="5" t="n"/>
      <c r="Q114" s="5" t="n">
        <v>423</v>
      </c>
      <c r="R114" s="5" t="n">
        <v>149.9</v>
      </c>
      <c r="S114" s="5" t="n"/>
      <c r="T114" s="5" t="inlineStr">
        <is>
          <t>SSRT</t>
        </is>
      </c>
      <c r="U114" s="5" t="inlineStr">
        <is>
          <t>reduction of area</t>
        </is>
      </c>
      <c r="V114" s="5" t="inlineStr">
        <is>
          <t>air</t>
        </is>
      </c>
      <c r="W114" s="5" t="n">
        <v>57</v>
      </c>
      <c r="X114" s="5" t="n">
        <v>29</v>
      </c>
      <c r="Y114" s="5" t="n">
        <v>0.509</v>
      </c>
      <c r="Z114" s="5" t="inlineStr">
        <is>
          <t>significant loss</t>
        </is>
      </c>
      <c r="AA114" s="5" t="n">
        <v>34.8</v>
      </c>
      <c r="AB114" s="5" t="inlineStr">
        <is>
          <t>relative_ratio</t>
        </is>
      </c>
      <c r="AC114" s="5" t="inlineStr">
        <is>
          <t>no</t>
        </is>
      </c>
      <c r="AD114" s="5" t="inlineStr">
        <is>
          <t>Fukunaga, Engineering Failure Analysis 160 (2024) 108158. SSRT on piping removed from a hydrogen refuelling station after two years of service. Precipitation-strengthened iron-base superalloy, not an austenitic stainless steel; 70 MPa H2 at 150 C vs air. RRA reported as 51%. Nieq 34.8.</t>
        </is>
      </c>
      <c r="AE114" s="6">
        <f>IF(AND($U114="reduction of area",$H114="no"),$Y114,"")</f>
        <v/>
      </c>
      <c r="AF114" s="6">
        <f>IF(AND($U114="reduction of area",$H114="yes"),$Y114,"")</f>
        <v/>
      </c>
    </row>
  </sheetData>
  <autoFilter ref="A1:AF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2" customWidth="1" min="1" max="1"/>
    <col width="12" customWidth="1" min="2" max="2"/>
    <col width="12" customWidth="1" min="3" max="3"/>
    <col width="34" customWidth="1" min="4" max="4"/>
  </cols>
  <sheetData>
    <row r="1">
      <c r="A1" s="1" t="inlineStr">
        <is>
          <t>HE-Austenite v1.0 — summary</t>
        </is>
      </c>
    </row>
    <row r="2">
      <c r="A2" s="7" t="inlineStr">
        <is>
          <t>Gaseous hydrogen only. All figures below are live formulas over the Data sheet.</t>
        </is>
      </c>
    </row>
    <row r="4">
      <c r="A4" s="8" t="inlineStr">
        <is>
          <t>Counts</t>
        </is>
      </c>
    </row>
    <row r="5">
      <c r="A5" s="3" t="inlineStr">
        <is>
          <t>Total records</t>
        </is>
      </c>
      <c r="B5">
        <f>COUNTA(Data!A2:A114)</f>
        <v/>
      </c>
    </row>
    <row r="6">
      <c r="A6" s="3" t="inlineStr">
        <is>
          <t>Reduction-of-area rows</t>
        </is>
      </c>
      <c r="B6">
        <f>COUNT(Data!AE2:AE114)+COUNT(Data!AF2:AF114)</f>
        <v/>
      </c>
    </row>
    <row r="7">
      <c r="A7" s="3" t="inlineStr">
        <is>
          <t>Weld rows</t>
        </is>
      </c>
      <c r="B7">
        <f>COUNTIF(Data!H2:H114,"yes")</f>
        <v/>
      </c>
    </row>
    <row r="8">
      <c r="A8" s="3" t="inlineStr">
        <is>
          <t>Base metal rows</t>
        </is>
      </c>
      <c r="B8">
        <f>COUNTIF(Data!H2:H114,"no")</f>
        <v/>
      </c>
    </row>
    <row r="9">
      <c r="A9" s="3" t="inlineStr">
        <is>
          <t>Rows independently re-extracted and matched</t>
        </is>
      </c>
      <c r="B9">
        <f>COUNTIF(Data!AC2:AC114,"yes")</f>
        <v/>
      </c>
    </row>
    <row r="11">
      <c r="A11" s="8" t="inlineStr">
        <is>
          <t>Median RRA</t>
        </is>
      </c>
    </row>
    <row r="12">
      <c r="A12" t="inlineStr">
        <is>
          <t>Base metal</t>
        </is>
      </c>
      <c r="B12" s="9">
        <f>MEDIAN(Data!AE2:AE114)</f>
        <v/>
      </c>
    </row>
    <row r="13">
      <c r="A13" t="inlineStr">
        <is>
          <t>Welds</t>
        </is>
      </c>
      <c r="B13" s="9">
        <f>MEDIAN(Data!AF2:AF114)</f>
        <v/>
      </c>
    </row>
    <row r="15">
      <c r="A15" s="8" t="inlineStr">
        <is>
          <t>By material family</t>
        </is>
      </c>
    </row>
    <row r="16">
      <c r="A16" s="8" t="inlineStr">
        <is>
          <t>Family</t>
        </is>
      </c>
      <c r="B16" s="8" t="inlineStr">
        <is>
          <t>RA rows</t>
        </is>
      </c>
      <c r="C16" s="8" t="inlineStr">
        <is>
          <t>Mean RRA</t>
        </is>
      </c>
      <c r="D16" s="8" t="inlineStr">
        <is>
          <t>Rows with significant loss (RRA &lt; 0.80)</t>
        </is>
      </c>
    </row>
    <row r="17">
      <c r="A17" s="3" t="inlineStr">
        <is>
          <t>300-series (304 type)</t>
        </is>
      </c>
      <c r="B17" s="3">
        <f>COUNTIFS(Data!$F$2:$F$114,A17,Data!$U$2:$U$114,"reduction of area")</f>
        <v/>
      </c>
      <c r="C17" s="10">
        <f>IFERROR(AVERAGEIFS(Data!$Y$2:$Y$114,Data!$F$2:$F$114,A17,Data!$U$2:$U$114,"reduction of area"),"")</f>
        <v/>
      </c>
      <c r="D17" s="3">
        <f>COUNTIFS(Data!$F$2:$F$114,A17,Data!$U$2:$U$114,"reduction of area",Data!$Z$2:$Z$114,"significant loss")</f>
        <v/>
      </c>
    </row>
    <row r="18">
      <c r="A18" s="3" t="inlineStr">
        <is>
          <t>300-series (316/317 type)</t>
        </is>
      </c>
      <c r="B18" s="3">
        <f>COUNTIFS(Data!$F$2:$F$114,A18,Data!$U$2:$U$114,"reduction of area")</f>
        <v/>
      </c>
      <c r="C18" s="10">
        <f>IFERROR(AVERAGEIFS(Data!$Y$2:$Y$114,Data!$F$2:$F$114,A18,Data!$U$2:$U$114,"reduction of area"),"")</f>
        <v/>
      </c>
      <c r="D18" s="3">
        <f>COUNTIFS(Data!$F$2:$F$114,A18,Data!$U$2:$U$114,"reduction of area",Data!$Z$2:$Z$114,"significant loss")</f>
        <v/>
      </c>
    </row>
    <row r="19">
      <c r="A19" s="3" t="inlineStr">
        <is>
          <t>300-series stabilised (321/347)</t>
        </is>
      </c>
      <c r="B19" s="3">
        <f>COUNTIFS(Data!$F$2:$F$114,A19,Data!$U$2:$U$114,"reduction of area")</f>
        <v/>
      </c>
      <c r="C19" s="10">
        <f>IFERROR(AVERAGEIFS(Data!$Y$2:$Y$114,Data!$F$2:$F$114,A19,Data!$U$2:$U$114,"reduction of area"),"")</f>
        <v/>
      </c>
      <c r="D19" s="3">
        <f>COUNTIFS(Data!$F$2:$F$114,A19,Data!$U$2:$U$114,"reduction of area",Data!$Z$2:$Z$114,"significant loss")</f>
        <v/>
      </c>
    </row>
    <row r="20">
      <c r="A20" s="3" t="inlineStr">
        <is>
          <t>N-strengthened (21-6-9)</t>
        </is>
      </c>
      <c r="B20" s="3">
        <f>COUNTIFS(Data!$F$2:$F$114,A20,Data!$U$2:$U$114,"reduction of area")</f>
        <v/>
      </c>
      <c r="C20" s="10">
        <f>IFERROR(AVERAGEIFS(Data!$Y$2:$Y$114,Data!$F$2:$F$114,A20,Data!$U$2:$U$114,"reduction of area"),"")</f>
        <v/>
      </c>
      <c r="D20" s="3">
        <f>COUNTIFS(Data!$F$2:$F$114,A20,Data!$U$2:$U$114,"reduction of area",Data!$Z$2:$Z$114,"significant loss")</f>
        <v/>
      </c>
    </row>
    <row r="21">
      <c r="A21" s="3" t="inlineStr">
        <is>
          <t>N-strengthened (22-13-5)</t>
        </is>
      </c>
      <c r="B21" s="3">
        <f>COUNTIFS(Data!$F$2:$F$114,A21,Data!$U$2:$U$114,"reduction of area")</f>
        <v/>
      </c>
      <c r="C21" s="10">
        <f>IFERROR(AVERAGEIFS(Data!$Y$2:$Y$114,Data!$F$2:$F$114,A21,Data!$U$2:$U$114,"reduction of area"),"")</f>
        <v/>
      </c>
      <c r="D21" s="3">
        <f>COUNTIFS(Data!$F$2:$F$114,A21,Data!$U$2:$U$114,"reduction of area",Data!$Z$2:$Z$114,"significant loss")</f>
        <v/>
      </c>
    </row>
    <row r="22">
      <c r="A22" s="3" t="inlineStr">
        <is>
          <t>duplex</t>
        </is>
      </c>
      <c r="B22" s="3">
        <f>COUNTIFS(Data!$F$2:$F$114,A22,Data!$U$2:$U$114,"reduction of area")</f>
        <v/>
      </c>
      <c r="C22" s="10">
        <f>IFERROR(AVERAGEIFS(Data!$Y$2:$Y$114,Data!$F$2:$F$114,A22,Data!$U$2:$U$114,"reduction of area"),"")</f>
        <v/>
      </c>
      <c r="D22" s="3">
        <f>COUNTIFS(Data!$F$2:$F$114,A22,Data!$U$2:$U$114,"reduction of area",Data!$Z$2:$Z$114,"significant loss")</f>
        <v/>
      </c>
    </row>
    <row r="23">
      <c r="A23" s="3" t="inlineStr">
        <is>
          <t>high-Ni austenitic (310)</t>
        </is>
      </c>
      <c r="B23" s="3">
        <f>COUNTIFS(Data!$F$2:$F$114,A23,Data!$U$2:$U$114,"reduction of area")</f>
        <v/>
      </c>
      <c r="C23" s="10">
        <f>IFERROR(AVERAGEIFS(Data!$Y$2:$Y$114,Data!$F$2:$F$114,A23,Data!$U$2:$U$114,"reduction of area"),"")</f>
        <v/>
      </c>
      <c r="D23" s="3">
        <f>COUNTIFS(Data!$F$2:$F$114,A23,Data!$U$2:$U$114,"reduction of area",Data!$Z$2:$Z$114,"significant loss")</f>
        <v/>
      </c>
    </row>
    <row r="24">
      <c r="A24" s="3" t="inlineStr">
        <is>
          <t>precipitation-strengthened (A286)</t>
        </is>
      </c>
      <c r="B24" s="3">
        <f>COUNTIFS(Data!$F$2:$F$114,A24,Data!$U$2:$U$114,"reduction of area")</f>
        <v/>
      </c>
      <c r="C24" s="10">
        <f>IFERROR(AVERAGEIFS(Data!$Y$2:$Y$114,Data!$F$2:$F$114,A24,Data!$U$2:$U$114,"reduction of area"),"")</f>
        <v/>
      </c>
      <c r="D24" s="3">
        <f>COUNTIFS(Data!$F$2:$F$114,A24,Data!$U$2:$U$114,"reduction of area",Data!$Z$2:$Z$114,"significant loss")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46" customWidth="1" min="3" max="3"/>
    <col width="18" customWidth="1" min="4" max="4"/>
  </cols>
  <sheetData>
    <row r="1">
      <c r="A1" s="4" t="inlineStr">
        <is>
          <t>Column</t>
        </is>
      </c>
      <c r="B1" s="4" t="inlineStr">
        <is>
          <t>Meaning</t>
        </is>
      </c>
      <c r="C1" s="4" t="inlineStr">
        <is>
          <t>Units / values</t>
        </is>
      </c>
      <c r="D1" s="4" t="inlineStr">
        <is>
          <t>Records populated</t>
        </is>
      </c>
    </row>
    <row r="2">
      <c r="A2" s="11" t="inlineStr">
        <is>
          <t>record_id</t>
        </is>
      </c>
      <c r="B2" s="11" t="inlineStr">
        <is>
          <t>Unique id: source, table, row</t>
        </is>
      </c>
      <c r="C2" s="11" t="inlineStr"/>
      <c r="D2" s="11" t="inlineStr">
        <is>
          <t>113 of 113</t>
        </is>
      </c>
    </row>
    <row r="3">
      <c r="A3" s="11" t="inlineStr">
        <is>
          <t>source_id</t>
        </is>
      </c>
      <c r="B3" s="11" t="inlineStr">
        <is>
          <t>Key into the Sources sheet</t>
        </is>
      </c>
      <c r="C3" s="11" t="inlineStr"/>
      <c r="D3" s="11" t="inlineStr">
        <is>
          <t>113 of 113</t>
        </is>
      </c>
    </row>
    <row r="4">
      <c r="A4" s="11" t="inlineStr">
        <is>
          <t>source_short</t>
        </is>
      </c>
      <c r="B4" s="11" t="inlineStr">
        <is>
          <t>Author and year</t>
        </is>
      </c>
      <c r="C4" s="11" t="inlineStr"/>
      <c r="D4" s="11" t="inlineStr">
        <is>
          <t>113 of 113</t>
        </is>
      </c>
    </row>
    <row r="5">
      <c r="A5" s="11" t="inlineStr">
        <is>
          <t>alloy</t>
        </is>
      </c>
      <c r="B5" s="11" t="inlineStr">
        <is>
          <t>Alloy designation, standardised</t>
        </is>
      </c>
      <c r="C5" s="11" t="inlineStr"/>
      <c r="D5" s="11" t="inlineStr">
        <is>
          <t>113 of 113</t>
        </is>
      </c>
    </row>
    <row r="6">
      <c r="A6" s="11" t="inlineStr">
        <is>
          <t>heat</t>
        </is>
      </c>
      <c r="B6" s="11" t="inlineStr">
        <is>
          <t>Heat or cast id where reported</t>
        </is>
      </c>
      <c r="C6" s="11" t="inlineStr"/>
      <c r="D6" s="11" t="inlineStr">
        <is>
          <t>16 of 113</t>
        </is>
      </c>
    </row>
    <row r="7">
      <c r="A7" s="11" t="inlineStr">
        <is>
          <t>material_family</t>
        </is>
      </c>
      <c r="B7" s="11" t="inlineStr">
        <is>
          <t>Grouping used for analysis</t>
        </is>
      </c>
      <c r="C7" s="11" t="inlineStr"/>
      <c r="D7" s="11" t="inlineStr">
        <is>
          <t>113 of 113</t>
        </is>
      </c>
    </row>
    <row r="8">
      <c r="A8" s="11" t="inlineStr">
        <is>
          <t>product_form</t>
        </is>
      </c>
      <c r="B8" s="11" t="inlineStr">
        <is>
          <t>plate, bar, sheet, tube, weld</t>
        </is>
      </c>
      <c r="C8" s="11" t="inlineStr"/>
      <c r="D8" s="11" t="inlineStr">
        <is>
          <t>113 of 113</t>
        </is>
      </c>
    </row>
    <row r="9">
      <c r="A9" s="11" t="inlineStr">
        <is>
          <t>is_weld</t>
        </is>
      </c>
      <c r="B9" s="11" t="inlineStr">
        <is>
          <t>Gauge section contains weld metal</t>
        </is>
      </c>
      <c r="C9" s="11" t="inlineStr">
        <is>
          <t>yes / no</t>
        </is>
      </c>
      <c r="D9" s="11" t="inlineStr">
        <is>
          <t>113 of 113</t>
        </is>
      </c>
    </row>
    <row r="10">
      <c r="A10" s="11" t="inlineStr">
        <is>
          <t>zone</t>
        </is>
      </c>
      <c r="B10" s="11" t="inlineStr">
        <is>
          <t>Part of the joint tested</t>
        </is>
      </c>
      <c r="C10" s="11" t="inlineStr">
        <is>
          <t>base metal / weld metal / HAZ / whole joint</t>
        </is>
      </c>
      <c r="D10" s="11" t="inlineStr">
        <is>
          <t>113 of 113</t>
        </is>
      </c>
    </row>
    <row r="11">
      <c r="A11" s="11" t="inlineStr">
        <is>
          <t>weld_process</t>
        </is>
      </c>
      <c r="B11" s="11" t="inlineStr">
        <is>
          <t>Welding process</t>
        </is>
      </c>
      <c r="C11" s="11" t="inlineStr">
        <is>
          <t>GTAW, GMAW, PAW, EBW, laser</t>
        </is>
      </c>
      <c r="D11" s="11" t="inlineStr">
        <is>
          <t>60 of 113</t>
        </is>
      </c>
    </row>
    <row r="12">
      <c r="A12" s="11" t="inlineStr">
        <is>
          <t>filler_metal</t>
        </is>
      </c>
      <c r="B12" s="11" t="inlineStr">
        <is>
          <t>Filler wire</t>
        </is>
      </c>
      <c r="C12" s="11" t="inlineStr"/>
      <c r="D12" s="11" t="inlineStr">
        <is>
          <t>50 of 113</t>
        </is>
      </c>
    </row>
    <row r="13">
      <c r="A13" s="11" t="inlineStr">
        <is>
          <t>ferrite_number</t>
        </is>
      </c>
      <c r="B13" s="11" t="inlineStr">
        <is>
          <t>Ferrite number where reported</t>
        </is>
      </c>
      <c r="C13" s="11" t="inlineStr">
        <is>
          <t>FN</t>
        </is>
      </c>
      <c r="D13" s="11" t="inlineStr">
        <is>
          <t>2 of 113</t>
        </is>
      </c>
    </row>
    <row r="14">
      <c r="A14" s="11" t="inlineStr">
        <is>
          <t>hydrogen_exposure</t>
        </is>
      </c>
      <c r="B14" s="11" t="inlineStr">
        <is>
          <t>How hydrogen was introduced</t>
        </is>
      </c>
      <c r="C14" s="11" t="inlineStr">
        <is>
          <t>gaseous in-situ / gaseous precharge</t>
        </is>
      </c>
      <c r="D14" s="11" t="inlineStr">
        <is>
          <t>113 of 113</t>
        </is>
      </c>
    </row>
    <row r="15">
      <c r="A15" s="11" t="inlineStr">
        <is>
          <t>h2_pressure_MPa</t>
        </is>
      </c>
      <c r="B15" s="11" t="inlineStr">
        <is>
          <t>Hydrogen gas pressure</t>
        </is>
      </c>
      <c r="C15" s="11" t="inlineStr">
        <is>
          <t>MPa</t>
        </is>
      </c>
      <c r="D15" s="11" t="inlineStr">
        <is>
          <t>104 of 113</t>
        </is>
      </c>
    </row>
    <row r="16">
      <c r="A16" s="11" t="inlineStr">
        <is>
          <t>hydrogen_content_wppm</t>
        </is>
      </c>
      <c r="B16" s="11" t="inlineStr">
        <is>
          <t>Hydrogen content</t>
        </is>
      </c>
      <c r="C16" s="11" t="inlineStr">
        <is>
          <t>wt ppm</t>
        </is>
      </c>
      <c r="D16" s="11" t="inlineStr">
        <is>
          <t>52 of 113</t>
        </is>
      </c>
    </row>
    <row r="17">
      <c r="A17" s="11" t="inlineStr">
        <is>
          <t>charging_time_h</t>
        </is>
      </c>
      <c r="B17" s="11" t="inlineStr">
        <is>
          <t>Precharging duration</t>
        </is>
      </c>
      <c r="C17" s="11" t="inlineStr">
        <is>
          <t>hours</t>
        </is>
      </c>
      <c r="D17" s="11" t="inlineStr">
        <is>
          <t>45 of 113</t>
        </is>
      </c>
    </row>
    <row r="18">
      <c r="A18" s="11" t="inlineStr">
        <is>
          <t>test_temperature_K</t>
        </is>
      </c>
      <c r="B18" s="11" t="inlineStr">
        <is>
          <t>Test temperature</t>
        </is>
      </c>
      <c r="C18" s="11" t="inlineStr">
        <is>
          <t>K</t>
        </is>
      </c>
      <c r="D18" s="11" t="inlineStr">
        <is>
          <t>113 of 113</t>
        </is>
      </c>
    </row>
    <row r="19">
      <c r="A19" s="11" t="inlineStr">
        <is>
          <t>test_temperature_C</t>
        </is>
      </c>
      <c r="B19" s="11" t="inlineStr">
        <is>
          <t>Test temperature</t>
        </is>
      </c>
      <c r="C19" s="11" t="inlineStr">
        <is>
          <t>deg C</t>
        </is>
      </c>
      <c r="D19" s="11" t="inlineStr">
        <is>
          <t>113 of 113</t>
        </is>
      </c>
    </row>
    <row r="20">
      <c r="A20" s="11" t="inlineStr">
        <is>
          <t>strain_rate_per_s</t>
        </is>
      </c>
      <c r="B20" s="11" t="inlineStr">
        <is>
          <t>Nominal strain rate</t>
        </is>
      </c>
      <c r="C20" s="11" t="inlineStr">
        <is>
          <t>1/s</t>
        </is>
      </c>
      <c r="D20" s="11" t="inlineStr">
        <is>
          <t>64 of 113</t>
        </is>
      </c>
    </row>
    <row r="21">
      <c r="A21" s="11" t="inlineStr">
        <is>
          <t>test_type</t>
        </is>
      </c>
      <c r="B21" s="11" t="inlineStr">
        <is>
          <t>Test method</t>
        </is>
      </c>
      <c r="C21" s="11" t="inlineStr">
        <is>
          <t>tensile / SSRT</t>
        </is>
      </c>
      <c r="D21" s="11" t="inlineStr">
        <is>
          <t>113 of 113</t>
        </is>
      </c>
    </row>
    <row r="22">
      <c r="A22" s="11" t="inlineStr">
        <is>
          <t>property_name</t>
        </is>
      </c>
      <c r="B22" s="11" t="inlineStr">
        <is>
          <t>Property measured</t>
        </is>
      </c>
      <c r="C22" s="11" t="inlineStr"/>
      <c r="D22" s="11" t="inlineStr">
        <is>
          <t>113 of 113</t>
        </is>
      </c>
    </row>
    <row r="23">
      <c r="A23" s="11" t="inlineStr">
        <is>
          <t>reference_environment</t>
        </is>
      </c>
      <c r="B23" s="11" t="inlineStr">
        <is>
          <t>What hydrogen is compared against</t>
        </is>
      </c>
      <c r="C23" s="11" t="inlineStr">
        <is>
          <t>air / helium / nitrogen / argon / uncharged</t>
        </is>
      </c>
      <c r="D23" s="11" t="inlineStr">
        <is>
          <t>113 of 113</t>
        </is>
      </c>
    </row>
    <row r="24">
      <c r="A24" s="11" t="inlineStr">
        <is>
          <t>property_reference</t>
        </is>
      </c>
      <c r="B24" s="11" t="inlineStr">
        <is>
          <t>Value in the reference environment</t>
        </is>
      </c>
      <c r="C24" s="11" t="inlineStr">
        <is>
          <t>% or MPa</t>
        </is>
      </c>
      <c r="D24" s="11" t="inlineStr">
        <is>
          <t>103 of 113</t>
        </is>
      </c>
    </row>
    <row r="25">
      <c r="A25" s="11" t="inlineStr">
        <is>
          <t>property_h2</t>
        </is>
      </c>
      <c r="B25" s="11" t="inlineStr">
        <is>
          <t>Value in or after hydrogen</t>
        </is>
      </c>
      <c r="C25" s="11" t="inlineStr">
        <is>
          <t>% or MPa</t>
        </is>
      </c>
      <c r="D25" s="11" t="inlineStr">
        <is>
          <t>103 of 113</t>
        </is>
      </c>
    </row>
    <row r="26">
      <c r="A26" s="11" t="inlineStr">
        <is>
          <t>relative_ratio</t>
        </is>
      </c>
      <c r="B26" s="11" t="inlineStr">
        <is>
          <t>property_h2 / property_reference, or the ratio as the source printed it where absolute values were not given</t>
        </is>
      </c>
      <c r="C26" s="11" t="inlineStr">
        <is>
          <t>1.0 = no loss</t>
        </is>
      </c>
      <c r="D26" s="11" t="inlineStr">
        <is>
          <t>113 of 113</t>
        </is>
      </c>
    </row>
    <row r="27">
      <c r="A27" s="11" t="inlineStr">
        <is>
          <t>embrittlement_flag</t>
        </is>
      </c>
      <c r="B27" s="11" t="inlineStr">
        <is>
          <t>Banding of relative_ratio</t>
        </is>
      </c>
      <c r="C27" s="11" t="inlineStr">
        <is>
          <t>no measurable loss &gt;=0.95 / moderate 0.80-0.95 / significant &lt;0.80</t>
        </is>
      </c>
      <c r="D27" s="11" t="inlineStr">
        <is>
          <t>113 of 113</t>
        </is>
      </c>
    </row>
    <row r="28">
      <c r="A28" s="11" t="inlineStr">
        <is>
          <t>ni_equivalent</t>
        </is>
      </c>
      <c r="B28" s="11" t="inlineStr">
        <is>
          <t>Nickel equivalent (Hirayama) where composition was reported</t>
        </is>
      </c>
      <c r="C28" s="11" t="inlineStr">
        <is>
          <t>wt %</t>
        </is>
      </c>
      <c r="D28" s="11" t="inlineStr">
        <is>
          <t>14 of 113</t>
        </is>
      </c>
    </row>
    <row r="29">
      <c r="A29" s="11" t="inlineStr">
        <is>
          <t>derived</t>
        </is>
      </c>
      <c r="B29" s="11" t="inlineStr">
        <is>
          <t>Fields computed rather than reported</t>
        </is>
      </c>
      <c r="C29" s="11" t="inlineStr"/>
      <c r="D29" s="11" t="inlineStr">
        <is>
          <t>113 of 113</t>
        </is>
      </c>
    </row>
    <row r="30">
      <c r="A30" s="11" t="inlineStr">
        <is>
          <t>verified</t>
        </is>
      </c>
      <c r="B30" s="11" t="inlineStr">
        <is>
          <t>Independently re-extracted and matched</t>
        </is>
      </c>
      <c r="C30" s="11" t="inlineStr">
        <is>
          <t>yes / no</t>
        </is>
      </c>
      <c r="D30" s="11" t="inlineStr">
        <is>
          <t>113 of 113</t>
        </is>
      </c>
    </row>
    <row r="31">
      <c r="A31" s="11" t="inlineStr">
        <is>
          <t>notes</t>
        </is>
      </c>
      <c r="B31" s="11" t="inlineStr">
        <is>
          <t>Source table, conditions, caveats</t>
        </is>
      </c>
      <c r="C31" s="11" t="inlineStr"/>
      <c r="D31" s="11" t="inlineStr">
        <is>
          <t>113 of 113</t>
        </is>
      </c>
    </row>
  </sheetData>
  <autoFilter ref="A1:D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1" customWidth="1" min="1" max="1"/>
    <col width="88" customWidth="1" min="2" max="2"/>
    <col width="44" customWidth="1" min="3" max="3"/>
    <col width="12" customWidth="1" min="4" max="4"/>
  </cols>
  <sheetData>
    <row r="1">
      <c r="A1" s="4" t="inlineStr">
        <is>
          <t>Source id</t>
        </is>
      </c>
      <c r="B1" s="4" t="inlineStr">
        <is>
          <t>Citation</t>
        </is>
      </c>
      <c r="C1" s="4" t="inlineStr">
        <is>
          <t>Link</t>
        </is>
      </c>
      <c r="D1" s="4" t="inlineStr">
        <is>
          <t>Access</t>
        </is>
      </c>
    </row>
    <row r="2">
      <c r="A2" s="11" t="inlineStr">
        <is>
          <t>S1</t>
        </is>
      </c>
      <c r="B2" s="11" t="inlineStr">
        <is>
          <t>Caskey GR Jr. Hydrogen Compatibility Handbook for Stainless Steels. DP-1643, Savannah River Laboratory, June 1983.</t>
        </is>
      </c>
      <c r="C2" s="11" t="inlineStr">
        <is>
          <t>https://www.osti.gov/biblio/5906050</t>
        </is>
      </c>
      <c r="D2" s="11" t="inlineStr">
        <is>
          <t>open</t>
        </is>
      </c>
    </row>
    <row r="3">
      <c r="A3" s="11" t="inlineStr">
        <is>
          <t>S2</t>
        </is>
      </c>
      <c r="B3" s="11" t="inlineStr">
        <is>
          <t>San Marchi C, Somerday BP (eds). Technical Reference on Hydrogen Compatibility of Materials. SAND2012-7321, Sandia National Laboratories, 2012.</t>
        </is>
      </c>
      <c r="C3" s="11" t="inlineStr">
        <is>
          <t>https://h2tools.org/technical-reference</t>
        </is>
      </c>
      <c r="D3" s="11" t="inlineStr">
        <is>
          <t>open</t>
        </is>
      </c>
    </row>
    <row r="4">
      <c r="A4" s="11" t="inlineStr">
        <is>
          <t>S3</t>
        </is>
      </c>
      <c r="B4" s="11" t="inlineStr">
        <is>
          <t>Balch DK, San Marchi C, et al. Effect of hydrogen on tensile strength and ductility of multipass 304L/308L welds. PVP2015-45591, ASME, 2015.</t>
        </is>
      </c>
      <c r="C4" s="11" t="inlineStr"/>
      <c r="D4" s="11" t="inlineStr">
        <is>
          <t>paywalled</t>
        </is>
      </c>
    </row>
    <row r="5">
      <c r="A5" s="11" t="inlineStr">
        <is>
          <t>S4</t>
        </is>
      </c>
      <c r="B5" s="11" t="inlineStr">
        <is>
          <t>Michler T, Lee Y, Gangloff RP, Naumann J. Influence of macro segregation on hydrogen environment embrittlement of SUS 316L. Int J Hydrogen Energy 34(7) 2009: 3201-3209.</t>
        </is>
      </c>
      <c r="C5" s="11" t="inlineStr">
        <is>
          <t>https://doi.org/10.1016/j.ijhydene.2009.02.015</t>
        </is>
      </c>
      <c r="D5" s="11" t="inlineStr">
        <is>
          <t>paywalled</t>
        </is>
      </c>
    </row>
    <row r="6">
      <c r="A6" s="11" t="inlineStr">
        <is>
          <t>S5</t>
        </is>
      </c>
      <c r="B6" s="11" t="inlineStr">
        <is>
          <t>Nakamura J, Okazaki S, Matsunaga H, Matsuoka S. SSRT and fatigue life properties of 317L weld metal in high-pressure hydrogen gas. Trans JSME 84(857) 2018 (Japanese).</t>
        </is>
      </c>
      <c r="C6" s="11" t="inlineStr">
        <is>
          <t>https://doi.org/10.1299/transjsme.17-00437</t>
        </is>
      </c>
      <c r="D6" s="11" t="inlineStr">
        <is>
          <t>open</t>
        </is>
      </c>
    </row>
    <row r="7">
      <c r="A7" s="11" t="inlineStr">
        <is>
          <t>S6</t>
        </is>
      </c>
      <c r="B7" s="11" t="inlineStr">
        <is>
          <t>Younes CM, Steele AM, Nicholson JA, Barnett CJ. Influence of hydrogen content on the tensile properties and fracture of austenitic stainless steel welds. Int J Hydrogen Energy 38 2013: 4864-4876.</t>
        </is>
      </c>
      <c r="C7" s="11" t="inlineStr"/>
      <c r="D7" s="11" t="inlineStr">
        <is>
          <t>paywalled</t>
        </is>
      </c>
    </row>
    <row r="8">
      <c r="A8" s="11" t="inlineStr">
        <is>
          <t>S7</t>
        </is>
      </c>
      <c r="B8" s="11" t="inlineStr">
        <is>
          <t>Iyer KJL. The influence of hydrogen on the mechanical properties and structure of a stable 304 stainless steel. Canadian Metallurgical Quarterly, 1989.</t>
        </is>
      </c>
      <c r="C8" s="11" t="inlineStr"/>
      <c r="D8" s="11" t="inlineStr">
        <is>
          <t>paywalled</t>
        </is>
      </c>
    </row>
    <row r="9">
      <c r="A9" s="11" t="inlineStr">
        <is>
          <t>S8</t>
        </is>
      </c>
      <c r="B9" s="11" t="inlineStr">
        <is>
          <t>Fukunaga A. Hydrogen embrittlement behaviors during SSRT tests in gaseous hydrogen for cold-worked type 316 and A286 used in hydrogen refueling stations. Eng Failure Analysis 160 (2024) 108158.</t>
        </is>
      </c>
      <c r="C9" s="11" t="inlineStr">
        <is>
          <t>https://doi.org/10.1016/j.engfailanal.2024.108158</t>
        </is>
      </c>
      <c r="D9" s="11" t="inlineStr">
        <is>
          <t>paywalled</t>
        </is>
      </c>
    </row>
    <row r="10">
      <c r="A10" s="11" t="inlineStr">
        <is>
          <t>S9</t>
        </is>
      </c>
      <c r="B10" s="11" t="inlineStr">
        <is>
          <t>Matsuoka S, Yamabe J, Matsunaga H. Hydrogen-induced ductility loss of austenitic stainless steels for SSRT in high-pressure hydrogen gas. Solid State Phenomena 258 (2017) 259-264.</t>
        </is>
      </c>
      <c r="C10" s="11" t="inlineStr">
        <is>
          <t>https://doi.org/10.4028/www.scientific.net/SSP.258.259</t>
        </is>
      </c>
      <c r="D10" s="11" t="inlineStr">
        <is>
          <t>paywalled</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86" customWidth="1" min="3" max="3"/>
  </cols>
  <sheetData>
    <row r="1">
      <c r="A1" s="4" t="inlineStr">
        <is>
          <t>Source</t>
        </is>
      </c>
      <c r="B1" s="4" t="inlineStr">
        <is>
          <t>Status</t>
        </is>
      </c>
      <c r="C1" s="4" t="inlineStr">
        <is>
          <t>Reason</t>
        </is>
      </c>
    </row>
    <row r="2">
      <c r="A2" s="11" t="inlineStr">
        <is>
          <t>Caskey DP-1643</t>
        </is>
      </c>
      <c r="B2" s="11" t="inlineStr">
        <is>
          <t>extracted</t>
        </is>
      </c>
      <c r="C2" s="11" t="inlineStr">
        <is>
          <t>Tables 3, 6, 10, 11; compositions from Table A-1. Remaining data is in figures.</t>
        </is>
      </c>
    </row>
    <row r="3">
      <c r="A3" s="11" t="inlineStr">
        <is>
          <t>SAND2012-7321 chapters 2101, 2103, 2104, 2201, 2202, 1600</t>
        </is>
      </c>
      <c r="B3" s="11" t="inlineStr">
        <is>
          <t>extracted</t>
        </is>
      </c>
      <c r="C3" s="11" t="inlineStr">
        <is>
          <t>Smooth and notched tensile tables plus weld tables.</t>
        </is>
      </c>
    </row>
    <row r="4">
      <c r="A4" s="11" t="inlineStr">
        <is>
          <t>Balch 2015</t>
        </is>
      </c>
      <c r="B4" s="11" t="inlineStr">
        <is>
          <t>extracted</t>
        </is>
      </c>
      <c r="C4" s="11" t="inlineStr">
        <is>
          <t>Table 3, all six weld positions, both orientations.</t>
        </is>
      </c>
    </row>
    <row r="5">
      <c r="A5" s="11" t="inlineStr">
        <is>
          <t>Nakamura 2018</t>
        </is>
      </c>
      <c r="B5" s="11" t="inlineStr">
        <is>
          <t>extracted</t>
        </is>
      </c>
      <c r="C5" s="11" t="inlineStr">
        <is>
          <t>Base metal and 317L weld metal, as-welded and solution-treated.</t>
        </is>
      </c>
    </row>
    <row r="6">
      <c r="A6" s="11" t="inlineStr">
        <is>
          <t>Michler 2009</t>
        </is>
      </c>
      <c r="B6" s="11" t="inlineStr">
        <is>
          <t>extracted</t>
        </is>
      </c>
      <c r="C6" s="11" t="inlineStr">
        <is>
          <t>Table 2, two heats of 316L.</t>
        </is>
      </c>
    </row>
    <row r="7">
      <c r="A7" s="11" t="inlineStr">
        <is>
          <t>Younes 2013</t>
        </is>
      </c>
      <c r="B7" s="11" t="inlineStr">
        <is>
          <t>extracted</t>
        </is>
      </c>
      <c r="C7" s="11" t="inlineStr">
        <is>
          <t>Table 4, RA loss at three hydrogen contents.</t>
        </is>
      </c>
    </row>
    <row r="8">
      <c r="A8" s="11" t="inlineStr">
        <is>
          <t>Iyer 1989</t>
        </is>
      </c>
      <c r="B8" s="11" t="inlineStr">
        <is>
          <t>extracted</t>
        </is>
      </c>
      <c r="C8" s="11" t="inlineStr">
        <is>
          <t>Table 1; charged in Ar-3%H2 gas at 1050 C, so in scope.</t>
        </is>
      </c>
    </row>
    <row r="9">
      <c r="A9" s="11" t="inlineStr">
        <is>
          <t>Fukunaga 2024</t>
        </is>
      </c>
      <c r="B9" s="11" t="inlineStr">
        <is>
          <t>extracted</t>
        </is>
      </c>
      <c r="C9" s="11" t="inlineStr">
        <is>
          <t>316CW and A286 values given in the text.</t>
        </is>
      </c>
    </row>
    <row r="10">
      <c r="A10" s="11" t="inlineStr">
        <is>
          <t>Matsuoka 2017 (SSP)</t>
        </is>
      </c>
      <c r="B10" s="11" t="inlineStr">
        <is>
          <t>partly extracted</t>
        </is>
      </c>
      <c r="C10" s="11" t="inlineStr">
        <is>
          <t>Only the Type 304 room-temperature RRA (0.37) is numeric; the RRA vs Nieq data is figure-only.</t>
        </is>
      </c>
    </row>
    <row r="11">
      <c r="A11" s="11" t="inlineStr">
        <is>
          <t>Yamabe 2017</t>
        </is>
      </c>
      <c r="B11" s="11" t="inlineStr">
        <is>
          <t>not extracted</t>
        </is>
      </c>
      <c r="C11" s="11" t="inlineStr">
        <is>
          <t>RRA appears only in figures. Ten steels with Nieq already computed; the best candidate for digitisation.</t>
        </is>
      </c>
    </row>
    <row r="12">
      <c r="A12" s="11" t="inlineStr">
        <is>
          <t>Zhang 2013</t>
        </is>
      </c>
      <c r="B12" s="11" t="inlineStr">
        <is>
          <t>not extracted</t>
        </is>
      </c>
      <c r="C12" s="11" t="inlineStr">
        <is>
          <t>RRA vs prestrain and Nieq is figure-only.</t>
        </is>
      </c>
    </row>
    <row r="13">
      <c r="A13" s="11" t="inlineStr">
        <is>
          <t>Hirata 2015</t>
        </is>
      </c>
      <c r="B13" s="11" t="inlineStr">
        <is>
          <t>not extracted</t>
        </is>
      </c>
      <c r="C13" s="11" t="inlineStr">
        <is>
          <t>RRA vs delta-ferrite ratio is figure-only. Would be the key gaseous delta-ferrite dataset.</t>
        </is>
      </c>
    </row>
    <row r="14">
      <c r="A14" s="11" t="inlineStr">
        <is>
          <t>Neuharth 2015</t>
        </is>
      </c>
      <c r="B14" s="11" t="inlineStr">
        <is>
          <t>not extracted</t>
        </is>
      </c>
      <c r="C14" s="11" t="inlineStr">
        <is>
          <t>Burst tests with wall-thickness reduction; controls come from the literature rather than paired specimens.</t>
        </is>
      </c>
    </row>
    <row r="15">
      <c r="A15" s="11" t="inlineStr">
        <is>
          <t>J. Nakamura 2024 (J. Soc. Mater. Sci. Japan)</t>
        </is>
      </c>
      <c r="B15" s="11" t="inlineStr">
        <is>
          <t>candidate for v1.1</t>
        </is>
      </c>
      <c r="C15" s="11" t="inlineStr">
        <is>
          <t>SSRT in high-pressure gaseous hydrogen on GTAW 316L joints, ER316L filler, two heat inputs, delta ferrite varied. In scope; not yet obtained.</t>
        </is>
      </c>
    </row>
    <row r="16">
      <c r="A16" s="11" t="inlineStr">
        <is>
          <t>Bao 2021 (Anti-Corros. Methods Mater.)</t>
        </is>
      </c>
      <c r="B16" s="11" t="inlineStr">
        <is>
          <t>candidate for v1.1</t>
        </is>
      </c>
      <c r="C16" s="11" t="inlineStr">
        <is>
          <t>Type 304 with delta ferrite, 5 MPa hydrogen against 5 MPa argon, relative elongation and relative RA. In scope; not yet obtained.</t>
        </is>
      </c>
    </row>
    <row r="17">
      <c r="A17" s="11" t="inlineStr">
        <is>
          <t>Hirata 2013 (Q. J. Japan Weld. Soc.)</t>
        </is>
      </c>
      <c r="B17" s="11" t="inlineStr">
        <is>
          <t>candidate for v1.1</t>
        </is>
      </c>
      <c r="C17" s="11" t="inlineStr">
        <is>
          <t>Japanese original of Hirata 2015. Worth checking directly: the original may print as a table what the translation shows only as a figure.</t>
        </is>
      </c>
    </row>
    <row r="18">
      <c r="A18" s="11" t="inlineStr">
        <is>
          <t>Anilkumara 2025 (Eng. Fail. Anal.)</t>
        </is>
      </c>
      <c r="B18" s="11" t="inlineStr">
        <is>
          <t>out of current scope</t>
        </is>
      </c>
      <c r="C18" s="11" t="inlineStr">
        <is>
          <t>AISI 321 thermally precharged in 4.6 MPa hydrogen gas, but low-cycle fatigue rather than tensile. Relevant if test_type coverage is widened.</t>
        </is>
      </c>
    </row>
    <row r="19">
      <c r="A19" s="11" t="inlineStr">
        <is>
          <t>Luppo 1999 (Corros. Sci.)</t>
        </is>
      </c>
      <c r="B19" s="11" t="inlineStr">
        <is>
          <t>excluded</t>
        </is>
      </c>
      <c r="C19" s="11" t="inlineStr">
        <is>
          <t>Electrochemical charging. Retained here because it is the foundational reference for the delta-ferrite argument and is cited in the paper.</t>
        </is>
      </c>
    </row>
    <row r="20">
      <c r="A20" s="11" t="inlineStr">
        <is>
          <t>Hirata 2015 (Weld. Int.) - note on interpretation</t>
        </is>
      </c>
      <c r="B20" s="11" t="inlineStr">
        <is>
          <t>-</t>
        </is>
      </c>
      <c r="C20" s="11" t="inlineStr">
        <is>
          <t>This source concludes that weld-metal embrittlement is governed by austenite stability (Md30, Ni equivalent) rather than by delta ferrite, which is the opposite of the reading in Nakamura 2018. Recorded so that users of the ferrite_number field know the question is contested.</t>
        </is>
      </c>
    </row>
    <row r="21">
      <c r="A21" s="11" t="inlineStr">
        <is>
          <t>Fu 2020, Zhou 2022/2024, Yun 2023, Choi 2024, Xu 2021, Astafurova 2023, Maritsa 2026, Sabzi 2025, Zhou 2023 (PAW 304), Hempel 2022 (CrMnNi PTIG)</t>
        </is>
      </c>
      <c r="B21" s="11" t="inlineStr">
        <is>
          <t>excluded</t>
        </is>
      </c>
      <c r="C21" s="11" t="inlineStr">
        <is>
          <t>Electrochemical or cathodic charging, outside the gaseous-hydrogen scope.</t>
        </is>
      </c>
    </row>
  </sheetData>
  <autoFilter ref="A1:C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2026-09-23T16:57:40Z</dcterms:created>
  <dcterms:modified xmlns:dcterms="http://purl.org/dc/terms/" xmlns:xsi="http://www.w3.org/2001/XMLSchema-instance" xsi:type="dcterms:W3CDTF">2026-09-23T16:57:40Z</dcterms:modified>
</cp:coreProperties>
</file>